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Rekap Audit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155B3C"/>
      <sz val="9"/>
    </font>
    <font>
      <name val="Georgia"/>
      <sz val="18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5B3C"/>
      </patternFill>
    </fill>
  </fills>
  <borders count="2">
    <border>
      <left/>
      <right/>
      <top/>
      <bottom/>
      <diagonal/>
    </border>
    <border>
      <left style="thin">
        <color rgb="00C9C2B2"/>
      </left>
      <right style="thin">
        <color rgb="00C9C2B2"/>
      </right>
      <top style="thin">
        <color rgb="00C9C2B2"/>
      </top>
      <bottom style="thin">
        <color rgb="00C9C2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HMI EVIDENCE · MATURITY LEVEL CABANG</t>
        </is>
      </c>
    </row>
    <row r="2">
      <c r="A2" s="2" t="inlineStr">
        <is>
          <t>Templat Rekap Audit Komisariat</t>
        </is>
      </c>
    </row>
    <row r="4">
      <c r="A4" s="3" t="inlineStr">
        <is>
          <t>Untuk apa: merekap hasil kuis Seberapa Evidence Komisariatmu (ahmadzulfikar.com/kuis) dari setiap komisariat, supaya cabang melihat pola dan menyusun pendampingan.</t>
        </is>
      </c>
    </row>
    <row r="5">
      <c r="A5" s="3" t="inlineStr">
        <is>
          <t>Cara mengisi: minta setiap komisariat mengirim laporan PDF hasil kuisnya. Salin skor inti, persentase enam kelompok, dan empat angka ke lembar Rekap Audit.</t>
        </is>
      </c>
    </row>
    <row r="6">
      <c r="A6" s="3" t="inlineStr">
        <is>
          <t>Kolom tingkat, retensi, dan keterlaksanaan program terhitung otomatis. Batas tingkat sama dengan kuis: 0–15 Titik Berangkat, 16–30 Mulai Mencatat, 31–45 Mulai Membaca Bukti, 46–60 Bukti Menjadi Kebiasaan.</t>
        </is>
      </c>
    </row>
    <row r="7">
      <c r="A7" s="3" t="inlineStr">
        <is>
          <t>Kelompok terlemah: tulis kelompok dengan persentase terendah. Komisariat dengan kelompok terlemah yang sama bisa didampingi bersama.</t>
        </is>
      </c>
    </row>
    <row r="8">
      <c r="A8" s="3" t="inlineStr">
        <is>
          <t>Lembar Ringkasan menghitung jumlah komisariat per tingkat dan rata-rata cabang.</t>
        </is>
      </c>
    </row>
    <row r="9">
      <c r="A9" s="3" t="inlineStr">
        <is>
          <t>Draf untuk ditinjau tim HMI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3" customWidth="1" min="3" max="3"/>
    <col width="11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3" customWidth="1" min="17" max="17"/>
    <col width="20" customWidth="1" min="18" max="18"/>
    <col width="20" customWidth="1" min="19" max="19"/>
    <col width="34" customWidth="1" min="20" max="20"/>
  </cols>
  <sheetData>
    <row r="1" ht="34" customHeight="1">
      <c r="A1" s="4" t="inlineStr">
        <is>
          <t>No</t>
        </is>
      </c>
      <c r="B1" s="4" t="inlineStr">
        <is>
          <t>Komisariat</t>
        </is>
      </c>
      <c r="C1" s="4" t="inlineStr">
        <is>
          <t>Tanggal audit</t>
        </is>
      </c>
      <c r="D1" s="4" t="inlineStr">
        <is>
          <t>Skor inti (0–60)</t>
        </is>
      </c>
      <c r="E1" s="4" t="inlineStr">
        <is>
          <t>Tingkat</t>
        </is>
      </c>
      <c r="F1" s="4" t="inlineStr">
        <is>
          <t>Kaderisasi (%)</t>
        </is>
      </c>
      <c r="G1" s="4" t="inlineStr">
        <is>
          <t>Tata Kelola (%)</t>
        </is>
      </c>
      <c r="H1" s="4" t="inlineStr">
        <is>
          <t>Pengetahuan (%)</t>
        </is>
      </c>
      <c r="I1" s="4" t="inlineStr">
        <is>
          <t>Target Program (%)</t>
        </is>
      </c>
      <c r="J1" s="4" t="inlineStr">
        <is>
          <t>Evaluasi dan Arsip (%)</t>
        </is>
      </c>
      <c r="K1" s="4" t="inlineStr">
        <is>
          <t>Data dan Jaringan (%)</t>
        </is>
      </c>
      <c r="L1" s="4" t="inlineStr">
        <is>
          <t>Peserta LK 1</t>
        </is>
      </c>
      <c r="M1" s="4" t="inlineStr">
        <is>
          <t>Aktif 3 bulan</t>
        </is>
      </c>
      <c r="N1" s="4" t="inlineStr">
        <is>
          <t>Retensi</t>
        </is>
      </c>
      <c r="O1" s="4" t="inlineStr">
        <is>
          <t>Program direncanakan</t>
        </is>
      </c>
      <c r="P1" s="4" t="inlineStr">
        <is>
          <t>Program terlaksana</t>
        </is>
      </c>
      <c r="Q1" s="4" t="inlineStr">
        <is>
          <t>Keterlaksanaan</t>
        </is>
      </c>
      <c r="R1" s="4" t="inlineStr">
        <is>
          <t>Kelompok terlemah</t>
        </is>
      </c>
      <c r="S1" s="4" t="inlineStr">
        <is>
          <t>Pendamping</t>
        </is>
      </c>
      <c r="T1" s="4" t="inlineStr">
        <is>
          <t>Tindak lanjut cabang</t>
        </is>
      </c>
    </row>
    <row r="2">
      <c r="A2" s="5" t="n">
        <v>1</v>
      </c>
      <c r="B2" s="5" t="n"/>
      <c r="C2" s="6" t="n"/>
      <c r="D2" s="5" t="n"/>
      <c r="E2" s="5">
        <f>IF(D2="","",IF(D2&lt;=15,"Titik Berangkat",IF(D2&lt;=30,"Mulai Mencatat",IF(D2&lt;=45,"Mulai Membaca Bukti","Bukti Menjadi Kebiasaan"))))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7">
        <f>IF(OR(L2="",L2=0),"",M2/L2)</f>
        <v/>
      </c>
      <c r="O2" s="5" t="n"/>
      <c r="P2" s="5" t="n"/>
      <c r="Q2" s="7">
        <f>IF(OR(O2="",O2=0),"",P2/O2)</f>
        <v/>
      </c>
      <c r="R2" s="5" t="n"/>
      <c r="S2" s="5" t="n"/>
      <c r="T2" s="5" t="n"/>
    </row>
    <row r="3">
      <c r="A3" s="5" t="n">
        <v>2</v>
      </c>
      <c r="B3" s="5" t="n"/>
      <c r="C3" s="6" t="n"/>
      <c r="D3" s="5" t="n"/>
      <c r="E3" s="5">
        <f>IF(D3="","",IF(D3&lt;=15,"Titik Berangkat",IF(D3&lt;=30,"Mulai Mencatat",IF(D3&lt;=45,"Mulai Membaca Bukti","Bukti Menjadi Kebiasaan"))))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7">
        <f>IF(OR(L3="",L3=0),"",M3/L3)</f>
        <v/>
      </c>
      <c r="O3" s="5" t="n"/>
      <c r="P3" s="5" t="n"/>
      <c r="Q3" s="7">
        <f>IF(OR(O3="",O3=0),"",P3/O3)</f>
        <v/>
      </c>
      <c r="R3" s="5" t="n"/>
      <c r="S3" s="5" t="n"/>
      <c r="T3" s="5" t="n"/>
    </row>
    <row r="4">
      <c r="A4" s="5" t="n">
        <v>3</v>
      </c>
      <c r="B4" s="5" t="n"/>
      <c r="C4" s="6" t="n"/>
      <c r="D4" s="5" t="n"/>
      <c r="E4" s="5">
        <f>IF(D4="","",IF(D4&lt;=15,"Titik Berangkat",IF(D4&lt;=30,"Mulai Mencatat",IF(D4&lt;=45,"Mulai Membaca Bukti","Bukti Menjadi Kebiasaan"))))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7">
        <f>IF(OR(L4="",L4=0),"",M4/L4)</f>
        <v/>
      </c>
      <c r="O4" s="5" t="n"/>
      <c r="P4" s="5" t="n"/>
      <c r="Q4" s="7">
        <f>IF(OR(O4="",O4=0),"",P4/O4)</f>
        <v/>
      </c>
      <c r="R4" s="5" t="n"/>
      <c r="S4" s="5" t="n"/>
      <c r="T4" s="5" t="n"/>
    </row>
    <row r="5">
      <c r="A5" s="5" t="n">
        <v>4</v>
      </c>
      <c r="B5" s="5" t="n"/>
      <c r="C5" s="6" t="n"/>
      <c r="D5" s="5" t="n"/>
      <c r="E5" s="5">
        <f>IF(D5="","",IF(D5&lt;=15,"Titik Berangkat",IF(D5&lt;=30,"Mulai Mencatat",IF(D5&lt;=45,"Mulai Membaca Bukti","Bukti Menjadi Kebiasaan"))))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7">
        <f>IF(OR(L5="",L5=0),"",M5/L5)</f>
        <v/>
      </c>
      <c r="O5" s="5" t="n"/>
      <c r="P5" s="5" t="n"/>
      <c r="Q5" s="7">
        <f>IF(OR(O5="",O5=0),"",P5/O5)</f>
        <v/>
      </c>
      <c r="R5" s="5" t="n"/>
      <c r="S5" s="5" t="n"/>
      <c r="T5" s="5" t="n"/>
    </row>
    <row r="6">
      <c r="A6" s="5" t="n">
        <v>5</v>
      </c>
      <c r="B6" s="5" t="n"/>
      <c r="C6" s="6" t="n"/>
      <c r="D6" s="5" t="n"/>
      <c r="E6" s="5">
        <f>IF(D6="","",IF(D6&lt;=15,"Titik Berangkat",IF(D6&lt;=30,"Mulai Mencatat",IF(D6&lt;=45,"Mulai Membaca Bukti","Bukti Menjadi Kebiasaan"))))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7">
        <f>IF(OR(L6="",L6=0),"",M6/L6)</f>
        <v/>
      </c>
      <c r="O6" s="5" t="n"/>
      <c r="P6" s="5" t="n"/>
      <c r="Q6" s="7">
        <f>IF(OR(O6="",O6=0),"",P6/O6)</f>
        <v/>
      </c>
      <c r="R6" s="5" t="n"/>
      <c r="S6" s="5" t="n"/>
      <c r="T6" s="5" t="n"/>
    </row>
    <row r="7">
      <c r="A7" s="5" t="n">
        <v>6</v>
      </c>
      <c r="B7" s="5" t="n"/>
      <c r="C7" s="6" t="n"/>
      <c r="D7" s="5" t="n"/>
      <c r="E7" s="5">
        <f>IF(D7="","",IF(D7&lt;=15,"Titik Berangkat",IF(D7&lt;=30,"Mulai Mencatat",IF(D7&lt;=45,"Mulai Membaca Bukti","Bukti Menjadi Kebiasaan"))))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7">
        <f>IF(OR(L7="",L7=0),"",M7/L7)</f>
        <v/>
      </c>
      <c r="O7" s="5" t="n"/>
      <c r="P7" s="5" t="n"/>
      <c r="Q7" s="7">
        <f>IF(OR(O7="",O7=0),"",P7/O7)</f>
        <v/>
      </c>
      <c r="R7" s="5" t="n"/>
      <c r="S7" s="5" t="n"/>
      <c r="T7" s="5" t="n"/>
    </row>
    <row r="8">
      <c r="A8" s="5" t="n">
        <v>7</v>
      </c>
      <c r="B8" s="5" t="n"/>
      <c r="C8" s="6" t="n"/>
      <c r="D8" s="5" t="n"/>
      <c r="E8" s="5">
        <f>IF(D8="","",IF(D8&lt;=15,"Titik Berangkat",IF(D8&lt;=30,"Mulai Mencatat",IF(D8&lt;=45,"Mulai Membaca Bukti","Bukti Menjadi Kebiasaan"))))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7">
        <f>IF(OR(L8="",L8=0),"",M8/L8)</f>
        <v/>
      </c>
      <c r="O8" s="5" t="n"/>
      <c r="P8" s="5" t="n"/>
      <c r="Q8" s="7">
        <f>IF(OR(O8="",O8=0),"",P8/O8)</f>
        <v/>
      </c>
      <c r="R8" s="5" t="n"/>
      <c r="S8" s="5" t="n"/>
      <c r="T8" s="5" t="n"/>
    </row>
    <row r="9">
      <c r="A9" s="5" t="n">
        <v>8</v>
      </c>
      <c r="B9" s="5" t="n"/>
      <c r="C9" s="6" t="n"/>
      <c r="D9" s="5" t="n"/>
      <c r="E9" s="5">
        <f>IF(D9="","",IF(D9&lt;=15,"Titik Berangkat",IF(D9&lt;=30,"Mulai Mencatat",IF(D9&lt;=45,"Mulai Membaca Bukti","Bukti Menjadi Kebiasaan"))))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7">
        <f>IF(OR(L9="",L9=0),"",M9/L9)</f>
        <v/>
      </c>
      <c r="O9" s="5" t="n"/>
      <c r="P9" s="5" t="n"/>
      <c r="Q9" s="7">
        <f>IF(OR(O9="",O9=0),"",P9/O9)</f>
        <v/>
      </c>
      <c r="R9" s="5" t="n"/>
      <c r="S9" s="5" t="n"/>
      <c r="T9" s="5" t="n"/>
    </row>
    <row r="10">
      <c r="A10" s="5" t="n">
        <v>9</v>
      </c>
      <c r="B10" s="5" t="n"/>
      <c r="C10" s="6" t="n"/>
      <c r="D10" s="5" t="n"/>
      <c r="E10" s="5">
        <f>IF(D10="","",IF(D10&lt;=15,"Titik Berangkat",IF(D10&lt;=30,"Mulai Mencatat",IF(D10&lt;=45,"Mulai Membaca Bukti","Bukti Menjadi Kebiasaan"))))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7">
        <f>IF(OR(L10="",L10=0),"",M10/L10)</f>
        <v/>
      </c>
      <c r="O10" s="5" t="n"/>
      <c r="P10" s="5" t="n"/>
      <c r="Q10" s="7">
        <f>IF(OR(O10="",O10=0),"",P10/O10)</f>
        <v/>
      </c>
      <c r="R10" s="5" t="n"/>
      <c r="S10" s="5" t="n"/>
      <c r="T10" s="5" t="n"/>
    </row>
    <row r="11">
      <c r="A11" s="5" t="n">
        <v>10</v>
      </c>
      <c r="B11" s="5" t="n"/>
      <c r="C11" s="6" t="n"/>
      <c r="D11" s="5" t="n"/>
      <c r="E11" s="5">
        <f>IF(D11="","",IF(D11&lt;=15,"Titik Berangkat",IF(D11&lt;=30,"Mulai Mencatat",IF(D11&lt;=45,"Mulai Membaca Bukti","Bukti Menjadi Kebiasaan"))))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7">
        <f>IF(OR(L11="",L11=0),"",M11/L11)</f>
        <v/>
      </c>
      <c r="O11" s="5" t="n"/>
      <c r="P11" s="5" t="n"/>
      <c r="Q11" s="7">
        <f>IF(OR(O11="",O11=0),"",P11/O11)</f>
        <v/>
      </c>
      <c r="R11" s="5" t="n"/>
      <c r="S11" s="5" t="n"/>
      <c r="T11" s="5" t="n"/>
    </row>
    <row r="12">
      <c r="A12" s="5" t="n">
        <v>11</v>
      </c>
      <c r="B12" s="5" t="n"/>
      <c r="C12" s="6" t="n"/>
      <c r="D12" s="5" t="n"/>
      <c r="E12" s="5">
        <f>IF(D12="","",IF(D12&lt;=15,"Titik Berangkat",IF(D12&lt;=30,"Mulai Mencatat",IF(D12&lt;=45,"Mulai Membaca Bukti","Bukti Menjadi Kebiasaan"))))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7">
        <f>IF(OR(L12="",L12=0),"",M12/L12)</f>
        <v/>
      </c>
      <c r="O12" s="5" t="n"/>
      <c r="P12" s="5" t="n"/>
      <c r="Q12" s="7">
        <f>IF(OR(O12="",O12=0),"",P12/O12)</f>
        <v/>
      </c>
      <c r="R12" s="5" t="n"/>
      <c r="S12" s="5" t="n"/>
      <c r="T12" s="5" t="n"/>
    </row>
    <row r="13">
      <c r="A13" s="5" t="n">
        <v>12</v>
      </c>
      <c r="B13" s="5" t="n"/>
      <c r="C13" s="6" t="n"/>
      <c r="D13" s="5" t="n"/>
      <c r="E13" s="5">
        <f>IF(D13="","",IF(D13&lt;=15,"Titik Berangkat",IF(D13&lt;=30,"Mulai Mencatat",IF(D13&lt;=45,"Mulai Membaca Bukti","Bukti Menjadi Kebiasaan"))))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7">
        <f>IF(OR(L13="",L13=0),"",M13/L13)</f>
        <v/>
      </c>
      <c r="O13" s="5" t="n"/>
      <c r="P13" s="5" t="n"/>
      <c r="Q13" s="7">
        <f>IF(OR(O13="",O13=0),"",P13/O13)</f>
        <v/>
      </c>
      <c r="R13" s="5" t="n"/>
      <c r="S13" s="5" t="n"/>
      <c r="T13" s="5" t="n"/>
    </row>
    <row r="14">
      <c r="A14" s="5" t="n">
        <v>13</v>
      </c>
      <c r="B14" s="5" t="n"/>
      <c r="C14" s="6" t="n"/>
      <c r="D14" s="5" t="n"/>
      <c r="E14" s="5">
        <f>IF(D14="","",IF(D14&lt;=15,"Titik Berangkat",IF(D14&lt;=30,"Mulai Mencatat",IF(D14&lt;=45,"Mulai Membaca Bukti","Bukti Menjadi Kebiasaan"))))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7">
        <f>IF(OR(L14="",L14=0),"",M14/L14)</f>
        <v/>
      </c>
      <c r="O14" s="5" t="n"/>
      <c r="P14" s="5" t="n"/>
      <c r="Q14" s="7">
        <f>IF(OR(O14="",O14=0),"",P14/O14)</f>
        <v/>
      </c>
      <c r="R14" s="5" t="n"/>
      <c r="S14" s="5" t="n"/>
      <c r="T14" s="5" t="n"/>
    </row>
    <row r="15">
      <c r="A15" s="5" t="n">
        <v>14</v>
      </c>
      <c r="B15" s="5" t="n"/>
      <c r="C15" s="6" t="n"/>
      <c r="D15" s="5" t="n"/>
      <c r="E15" s="5">
        <f>IF(D15="","",IF(D15&lt;=15,"Titik Berangkat",IF(D15&lt;=30,"Mulai Mencatat",IF(D15&lt;=45,"Mulai Membaca Bukti","Bukti Menjadi Kebiasaan"))))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7">
        <f>IF(OR(L15="",L15=0),"",M15/L15)</f>
        <v/>
      </c>
      <c r="O15" s="5" t="n"/>
      <c r="P15" s="5" t="n"/>
      <c r="Q15" s="7">
        <f>IF(OR(O15="",O15=0),"",P15/O15)</f>
        <v/>
      </c>
      <c r="R15" s="5" t="n"/>
      <c r="S15" s="5" t="n"/>
      <c r="T15" s="5" t="n"/>
    </row>
    <row r="16">
      <c r="A16" s="5" t="n">
        <v>15</v>
      </c>
      <c r="B16" s="5" t="n"/>
      <c r="C16" s="6" t="n"/>
      <c r="D16" s="5" t="n"/>
      <c r="E16" s="5">
        <f>IF(D16="","",IF(D16&lt;=15,"Titik Berangkat",IF(D16&lt;=30,"Mulai Mencatat",IF(D16&lt;=45,"Mulai Membaca Bukti","Bukti Menjadi Kebiasaan"))))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7">
        <f>IF(OR(L16="",L16=0),"",M16/L16)</f>
        <v/>
      </c>
      <c r="O16" s="5" t="n"/>
      <c r="P16" s="5" t="n"/>
      <c r="Q16" s="7">
        <f>IF(OR(O16="",O16=0),"",P16/O16)</f>
        <v/>
      </c>
      <c r="R16" s="5" t="n"/>
      <c r="S16" s="5" t="n"/>
      <c r="T16" s="5" t="n"/>
    </row>
    <row r="17">
      <c r="A17" s="5" t="n">
        <v>16</v>
      </c>
      <c r="B17" s="5" t="n"/>
      <c r="C17" s="6" t="n"/>
      <c r="D17" s="5" t="n"/>
      <c r="E17" s="5">
        <f>IF(D17="","",IF(D17&lt;=15,"Titik Berangkat",IF(D17&lt;=30,"Mulai Mencatat",IF(D17&lt;=45,"Mulai Membaca Bukti","Bukti Menjadi Kebiasaan"))))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7">
        <f>IF(OR(L17="",L17=0),"",M17/L17)</f>
        <v/>
      </c>
      <c r="O17" s="5" t="n"/>
      <c r="P17" s="5" t="n"/>
      <c r="Q17" s="7">
        <f>IF(OR(O17="",O17=0),"",P17/O17)</f>
        <v/>
      </c>
      <c r="R17" s="5" t="n"/>
      <c r="S17" s="5" t="n"/>
      <c r="T17" s="5" t="n"/>
    </row>
    <row r="18">
      <c r="A18" s="5" t="n">
        <v>17</v>
      </c>
      <c r="B18" s="5" t="n"/>
      <c r="C18" s="6" t="n"/>
      <c r="D18" s="5" t="n"/>
      <c r="E18" s="5">
        <f>IF(D18="","",IF(D18&lt;=15,"Titik Berangkat",IF(D18&lt;=30,"Mulai Mencatat",IF(D18&lt;=45,"Mulai Membaca Bukti","Bukti Menjadi Kebiasaan"))))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7">
        <f>IF(OR(L18="",L18=0),"",M18/L18)</f>
        <v/>
      </c>
      <c r="O18" s="5" t="n"/>
      <c r="P18" s="5" t="n"/>
      <c r="Q18" s="7">
        <f>IF(OR(O18="",O18=0),"",P18/O18)</f>
        <v/>
      </c>
      <c r="R18" s="5" t="n"/>
      <c r="S18" s="5" t="n"/>
      <c r="T18" s="5" t="n"/>
    </row>
    <row r="19">
      <c r="A19" s="5" t="n">
        <v>18</v>
      </c>
      <c r="B19" s="5" t="n"/>
      <c r="C19" s="6" t="n"/>
      <c r="D19" s="5" t="n"/>
      <c r="E19" s="5">
        <f>IF(D19="","",IF(D19&lt;=15,"Titik Berangkat",IF(D19&lt;=30,"Mulai Mencatat",IF(D19&lt;=45,"Mulai Membaca Bukti","Bukti Menjadi Kebiasaan"))))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7">
        <f>IF(OR(L19="",L19=0),"",M19/L19)</f>
        <v/>
      </c>
      <c r="O19" s="5" t="n"/>
      <c r="P19" s="5" t="n"/>
      <c r="Q19" s="7">
        <f>IF(OR(O19="",O19=0),"",P19/O19)</f>
        <v/>
      </c>
      <c r="R19" s="5" t="n"/>
      <c r="S19" s="5" t="n"/>
      <c r="T19" s="5" t="n"/>
    </row>
    <row r="20">
      <c r="A20" s="5" t="n">
        <v>19</v>
      </c>
      <c r="B20" s="5" t="n"/>
      <c r="C20" s="6" t="n"/>
      <c r="D20" s="5" t="n"/>
      <c r="E20" s="5">
        <f>IF(D20="","",IF(D20&lt;=15,"Titik Berangkat",IF(D20&lt;=30,"Mulai Mencatat",IF(D20&lt;=45,"Mulai Membaca Bukti","Bukti Menjadi Kebiasaan"))))</f>
        <v/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7">
        <f>IF(OR(L20="",L20=0),"",M20/L20)</f>
        <v/>
      </c>
      <c r="O20" s="5" t="n"/>
      <c r="P20" s="5" t="n"/>
      <c r="Q20" s="7">
        <f>IF(OR(O20="",O20=0),"",P20/O20)</f>
        <v/>
      </c>
      <c r="R20" s="5" t="n"/>
      <c r="S20" s="5" t="n"/>
      <c r="T20" s="5" t="n"/>
    </row>
    <row r="21">
      <c r="A21" s="5" t="n">
        <v>20</v>
      </c>
      <c r="B21" s="5" t="n"/>
      <c r="C21" s="6" t="n"/>
      <c r="D21" s="5" t="n"/>
      <c r="E21" s="5">
        <f>IF(D21="","",IF(D21&lt;=15,"Titik Berangkat",IF(D21&lt;=30,"Mulai Mencatat",IF(D21&lt;=45,"Mulai Membaca Bukti","Bukti Menjadi Kebiasaan"))))</f>
        <v/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7">
        <f>IF(OR(L21="",L21=0),"",M21/L21)</f>
        <v/>
      </c>
      <c r="O21" s="5" t="n"/>
      <c r="P21" s="5" t="n"/>
      <c r="Q21" s="7">
        <f>IF(OR(O21="",O21=0),"",P21/O21)</f>
        <v/>
      </c>
      <c r="R21" s="5" t="n"/>
      <c r="S21" s="5" t="n"/>
      <c r="T21" s="5" t="n"/>
    </row>
    <row r="22">
      <c r="A22" s="5" t="n">
        <v>21</v>
      </c>
      <c r="B22" s="5" t="n"/>
      <c r="C22" s="6" t="n"/>
      <c r="D22" s="5" t="n"/>
      <c r="E22" s="5">
        <f>IF(D22="","",IF(D22&lt;=15,"Titik Berangkat",IF(D22&lt;=30,"Mulai Mencatat",IF(D22&lt;=45,"Mulai Membaca Bukti","Bukti Menjadi Kebiasaan"))))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7">
        <f>IF(OR(L22="",L22=0),"",M22/L22)</f>
        <v/>
      </c>
      <c r="O22" s="5" t="n"/>
      <c r="P22" s="5" t="n"/>
      <c r="Q22" s="7">
        <f>IF(OR(O22="",O22=0),"",P22/O22)</f>
        <v/>
      </c>
      <c r="R22" s="5" t="n"/>
      <c r="S22" s="5" t="n"/>
      <c r="T22" s="5" t="n"/>
    </row>
    <row r="23">
      <c r="A23" s="5" t="n">
        <v>22</v>
      </c>
      <c r="B23" s="5" t="n"/>
      <c r="C23" s="6" t="n"/>
      <c r="D23" s="5" t="n"/>
      <c r="E23" s="5">
        <f>IF(D23="","",IF(D23&lt;=15,"Titik Berangkat",IF(D23&lt;=30,"Mulai Mencatat",IF(D23&lt;=45,"Mulai Membaca Bukti","Bukti Menjadi Kebiasaan"))))</f>
        <v/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7">
        <f>IF(OR(L23="",L23=0),"",M23/L23)</f>
        <v/>
      </c>
      <c r="O23" s="5" t="n"/>
      <c r="P23" s="5" t="n"/>
      <c r="Q23" s="7">
        <f>IF(OR(O23="",O23=0),"",P23/O23)</f>
        <v/>
      </c>
      <c r="R23" s="5" t="n"/>
      <c r="S23" s="5" t="n"/>
      <c r="T23" s="5" t="n"/>
    </row>
    <row r="24">
      <c r="A24" s="5" t="n">
        <v>23</v>
      </c>
      <c r="B24" s="5" t="n"/>
      <c r="C24" s="6" t="n"/>
      <c r="D24" s="5" t="n"/>
      <c r="E24" s="5">
        <f>IF(D24="","",IF(D24&lt;=15,"Titik Berangkat",IF(D24&lt;=30,"Mulai Mencatat",IF(D24&lt;=45,"Mulai Membaca Bukti","Bukti Menjadi Kebiasaan"))))</f>
        <v/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7">
        <f>IF(OR(L24="",L24=0),"",M24/L24)</f>
        <v/>
      </c>
      <c r="O24" s="5" t="n"/>
      <c r="P24" s="5" t="n"/>
      <c r="Q24" s="7">
        <f>IF(OR(O24="",O24=0),"",P24/O24)</f>
        <v/>
      </c>
      <c r="R24" s="5" t="n"/>
      <c r="S24" s="5" t="n"/>
      <c r="T24" s="5" t="n"/>
    </row>
    <row r="25">
      <c r="A25" s="5" t="n">
        <v>24</v>
      </c>
      <c r="B25" s="5" t="n"/>
      <c r="C25" s="6" t="n"/>
      <c r="D25" s="5" t="n"/>
      <c r="E25" s="5">
        <f>IF(D25="","",IF(D25&lt;=15,"Titik Berangkat",IF(D25&lt;=30,"Mulai Mencatat",IF(D25&lt;=45,"Mulai Membaca Bukti","Bukti Menjadi Kebiasaan"))))</f>
        <v/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7">
        <f>IF(OR(L25="",L25=0),"",M25/L25)</f>
        <v/>
      </c>
      <c r="O25" s="5" t="n"/>
      <c r="P25" s="5" t="n"/>
      <c r="Q25" s="7">
        <f>IF(OR(O25="",O25=0),"",P25/O25)</f>
        <v/>
      </c>
      <c r="R25" s="5" t="n"/>
      <c r="S25" s="5" t="n"/>
      <c r="T25" s="5" t="n"/>
    </row>
    <row r="26">
      <c r="A26" s="5" t="n">
        <v>25</v>
      </c>
      <c r="B26" s="5" t="n"/>
      <c r="C26" s="6" t="n"/>
      <c r="D26" s="5" t="n"/>
      <c r="E26" s="5">
        <f>IF(D26="","",IF(D26&lt;=15,"Titik Berangkat",IF(D26&lt;=30,"Mulai Mencatat",IF(D26&lt;=45,"Mulai Membaca Bukti","Bukti Menjadi Kebiasaan"))))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7">
        <f>IF(OR(L26="",L26=0),"",M26/L26)</f>
        <v/>
      </c>
      <c r="O26" s="5" t="n"/>
      <c r="P26" s="5" t="n"/>
      <c r="Q26" s="7">
        <f>IF(OR(O26="",O26=0),"",P26/O26)</f>
        <v/>
      </c>
      <c r="R26" s="5" t="n"/>
      <c r="S26" s="5" t="n"/>
      <c r="T26" s="5" t="n"/>
    </row>
    <row r="27">
      <c r="A27" s="5" t="n">
        <v>26</v>
      </c>
      <c r="B27" s="5" t="n"/>
      <c r="C27" s="6" t="n"/>
      <c r="D27" s="5" t="n"/>
      <c r="E27" s="5">
        <f>IF(D27="","",IF(D27&lt;=15,"Titik Berangkat",IF(D27&lt;=30,"Mulai Mencatat",IF(D27&lt;=45,"Mulai Membaca Bukti","Bukti Menjadi Kebiasaan"))))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7">
        <f>IF(OR(L27="",L27=0),"",M27/L27)</f>
        <v/>
      </c>
      <c r="O27" s="5" t="n"/>
      <c r="P27" s="5" t="n"/>
      <c r="Q27" s="7">
        <f>IF(OR(O27="",O27=0),"",P27/O27)</f>
        <v/>
      </c>
      <c r="R27" s="5" t="n"/>
      <c r="S27" s="5" t="n"/>
      <c r="T27" s="5" t="n"/>
    </row>
    <row r="28">
      <c r="A28" s="5" t="n">
        <v>27</v>
      </c>
      <c r="B28" s="5" t="n"/>
      <c r="C28" s="6" t="n"/>
      <c r="D28" s="5" t="n"/>
      <c r="E28" s="5">
        <f>IF(D28="","",IF(D28&lt;=15,"Titik Berangkat",IF(D28&lt;=30,"Mulai Mencatat",IF(D28&lt;=45,"Mulai Membaca Bukti","Bukti Menjadi Kebiasaan"))))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7">
        <f>IF(OR(L28="",L28=0),"",M28/L28)</f>
        <v/>
      </c>
      <c r="O28" s="5" t="n"/>
      <c r="P28" s="5" t="n"/>
      <c r="Q28" s="7">
        <f>IF(OR(O28="",O28=0),"",P28/O28)</f>
        <v/>
      </c>
      <c r="R28" s="5" t="n"/>
      <c r="S28" s="5" t="n"/>
      <c r="T28" s="5" t="n"/>
    </row>
    <row r="29">
      <c r="A29" s="5" t="n">
        <v>28</v>
      </c>
      <c r="B29" s="5" t="n"/>
      <c r="C29" s="6" t="n"/>
      <c r="D29" s="5" t="n"/>
      <c r="E29" s="5">
        <f>IF(D29="","",IF(D29&lt;=15,"Titik Berangkat",IF(D29&lt;=30,"Mulai Mencatat",IF(D29&lt;=45,"Mulai Membaca Bukti","Bukti Menjadi Kebiasaan"))))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7">
        <f>IF(OR(L29="",L29=0),"",M29/L29)</f>
        <v/>
      </c>
      <c r="O29" s="5" t="n"/>
      <c r="P29" s="5" t="n"/>
      <c r="Q29" s="7">
        <f>IF(OR(O29="",O29=0),"",P29/O29)</f>
        <v/>
      </c>
      <c r="R29" s="5" t="n"/>
      <c r="S29" s="5" t="n"/>
      <c r="T29" s="5" t="n"/>
    </row>
    <row r="30">
      <c r="A30" s="5" t="n">
        <v>29</v>
      </c>
      <c r="B30" s="5" t="n"/>
      <c r="C30" s="6" t="n"/>
      <c r="D30" s="5" t="n"/>
      <c r="E30" s="5">
        <f>IF(D30="","",IF(D30&lt;=15,"Titik Berangkat",IF(D30&lt;=30,"Mulai Mencatat",IF(D30&lt;=45,"Mulai Membaca Bukti","Bukti Menjadi Kebiasaan"))))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7">
        <f>IF(OR(L30="",L30=0),"",M30/L30)</f>
        <v/>
      </c>
      <c r="O30" s="5" t="n"/>
      <c r="P30" s="5" t="n"/>
      <c r="Q30" s="7">
        <f>IF(OR(O30="",O30=0),"",P30/O30)</f>
        <v/>
      </c>
      <c r="R30" s="5" t="n"/>
      <c r="S30" s="5" t="n"/>
      <c r="T30" s="5" t="n"/>
    </row>
    <row r="31">
      <c r="A31" s="5" t="n">
        <v>30</v>
      </c>
      <c r="B31" s="5" t="n"/>
      <c r="C31" s="6" t="n"/>
      <c r="D31" s="5" t="n"/>
      <c r="E31" s="5">
        <f>IF(D31="","",IF(D31&lt;=15,"Titik Berangkat",IF(D31&lt;=30,"Mulai Mencatat",IF(D31&lt;=45,"Mulai Membaca Bukti","Bukti Menjadi Kebiasaan"))))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7">
        <f>IF(OR(L31="",L31=0),"",M31/L31)</f>
        <v/>
      </c>
      <c r="O31" s="5" t="n"/>
      <c r="P31" s="5" t="n"/>
      <c r="Q31" s="7">
        <f>IF(OR(O31="",O31=0),"",P31/O31)</f>
        <v/>
      </c>
      <c r="R31" s="5" t="n"/>
      <c r="S31" s="5" t="n"/>
      <c r="T31" s="5" t="n"/>
    </row>
    <row r="32">
      <c r="A32" s="5" t="n">
        <v>31</v>
      </c>
      <c r="B32" s="5" t="n"/>
      <c r="C32" s="6" t="n"/>
      <c r="D32" s="5" t="n"/>
      <c r="E32" s="5">
        <f>IF(D32="","",IF(D32&lt;=15,"Titik Berangkat",IF(D32&lt;=30,"Mulai Mencatat",IF(D32&lt;=45,"Mulai Membaca Bukti","Bukti Menjadi Kebiasaan"))))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7">
        <f>IF(OR(L32="",L32=0),"",M32/L32)</f>
        <v/>
      </c>
      <c r="O32" s="5" t="n"/>
      <c r="P32" s="5" t="n"/>
      <c r="Q32" s="7">
        <f>IF(OR(O32="",O32=0),"",P32/O32)</f>
        <v/>
      </c>
      <c r="R32" s="5" t="n"/>
      <c r="S32" s="5" t="n"/>
      <c r="T32" s="5" t="n"/>
    </row>
    <row r="33">
      <c r="A33" s="5" t="n">
        <v>32</v>
      </c>
      <c r="B33" s="5" t="n"/>
      <c r="C33" s="6" t="n"/>
      <c r="D33" s="5" t="n"/>
      <c r="E33" s="5">
        <f>IF(D33="","",IF(D33&lt;=15,"Titik Berangkat",IF(D33&lt;=30,"Mulai Mencatat",IF(D33&lt;=45,"Mulai Membaca Bukti","Bukti Menjadi Kebiasaan"))))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7">
        <f>IF(OR(L33="",L33=0),"",M33/L33)</f>
        <v/>
      </c>
      <c r="O33" s="5" t="n"/>
      <c r="P33" s="5" t="n"/>
      <c r="Q33" s="7">
        <f>IF(OR(O33="",O33=0),"",P33/O33)</f>
        <v/>
      </c>
      <c r="R33" s="5" t="n"/>
      <c r="S33" s="5" t="n"/>
      <c r="T33" s="5" t="n"/>
    </row>
    <row r="34">
      <c r="A34" s="5" t="n">
        <v>33</v>
      </c>
      <c r="B34" s="5" t="n"/>
      <c r="C34" s="6" t="n"/>
      <c r="D34" s="5" t="n"/>
      <c r="E34" s="5">
        <f>IF(D34="","",IF(D34&lt;=15,"Titik Berangkat",IF(D34&lt;=30,"Mulai Mencatat",IF(D34&lt;=45,"Mulai Membaca Bukti","Bukti Menjadi Kebiasaan"))))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7">
        <f>IF(OR(L34="",L34=0),"",M34/L34)</f>
        <v/>
      </c>
      <c r="O34" s="5" t="n"/>
      <c r="P34" s="5" t="n"/>
      <c r="Q34" s="7">
        <f>IF(OR(O34="",O34=0),"",P34/O34)</f>
        <v/>
      </c>
      <c r="R34" s="5" t="n"/>
      <c r="S34" s="5" t="n"/>
      <c r="T34" s="5" t="n"/>
    </row>
    <row r="35">
      <c r="A35" s="5" t="n">
        <v>34</v>
      </c>
      <c r="B35" s="5" t="n"/>
      <c r="C35" s="6" t="n"/>
      <c r="D35" s="5" t="n"/>
      <c r="E35" s="5">
        <f>IF(D35="","",IF(D35&lt;=15,"Titik Berangkat",IF(D35&lt;=30,"Mulai Mencatat",IF(D35&lt;=45,"Mulai Membaca Bukti","Bukti Menjadi Kebiasaan"))))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7">
        <f>IF(OR(L35="",L35=0),"",M35/L35)</f>
        <v/>
      </c>
      <c r="O35" s="5" t="n"/>
      <c r="P35" s="5" t="n"/>
      <c r="Q35" s="7">
        <f>IF(OR(O35="",O35=0),"",P35/O35)</f>
        <v/>
      </c>
      <c r="R35" s="5" t="n"/>
      <c r="S35" s="5" t="n"/>
      <c r="T35" s="5" t="n"/>
    </row>
    <row r="36">
      <c r="A36" s="5" t="n">
        <v>35</v>
      </c>
      <c r="B36" s="5" t="n"/>
      <c r="C36" s="6" t="n"/>
      <c r="D36" s="5" t="n"/>
      <c r="E36" s="5">
        <f>IF(D36="","",IF(D36&lt;=15,"Titik Berangkat",IF(D36&lt;=30,"Mulai Mencatat",IF(D36&lt;=45,"Mulai Membaca Bukti","Bukti Menjadi Kebiasaan"))))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7">
        <f>IF(OR(L36="",L36=0),"",M36/L36)</f>
        <v/>
      </c>
      <c r="O36" s="5" t="n"/>
      <c r="P36" s="5" t="n"/>
      <c r="Q36" s="7">
        <f>IF(OR(O36="",O36=0),"",P36/O36)</f>
        <v/>
      </c>
      <c r="R36" s="5" t="n"/>
      <c r="S36" s="5" t="n"/>
      <c r="T36" s="5" t="n"/>
    </row>
    <row r="37">
      <c r="A37" s="5" t="n">
        <v>36</v>
      </c>
      <c r="B37" s="5" t="n"/>
      <c r="C37" s="6" t="n"/>
      <c r="D37" s="5" t="n"/>
      <c r="E37" s="5">
        <f>IF(D37="","",IF(D37&lt;=15,"Titik Berangkat",IF(D37&lt;=30,"Mulai Mencatat",IF(D37&lt;=45,"Mulai Membaca Bukti","Bukti Menjadi Kebiasaan"))))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7">
        <f>IF(OR(L37="",L37=0),"",M37/L37)</f>
        <v/>
      </c>
      <c r="O37" s="5" t="n"/>
      <c r="P37" s="5" t="n"/>
      <c r="Q37" s="7">
        <f>IF(OR(O37="",O37=0),"",P37/O37)</f>
        <v/>
      </c>
      <c r="R37" s="5" t="n"/>
      <c r="S37" s="5" t="n"/>
      <c r="T37" s="5" t="n"/>
    </row>
    <row r="38">
      <c r="A38" s="5" t="n">
        <v>37</v>
      </c>
      <c r="B38" s="5" t="n"/>
      <c r="C38" s="6" t="n"/>
      <c r="D38" s="5" t="n"/>
      <c r="E38" s="5">
        <f>IF(D38="","",IF(D38&lt;=15,"Titik Berangkat",IF(D38&lt;=30,"Mulai Mencatat",IF(D38&lt;=45,"Mulai Membaca Bukti","Bukti Menjadi Kebiasaan"))))</f>
        <v/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7">
        <f>IF(OR(L38="",L38=0),"",M38/L38)</f>
        <v/>
      </c>
      <c r="O38" s="5" t="n"/>
      <c r="P38" s="5" t="n"/>
      <c r="Q38" s="7">
        <f>IF(OR(O38="",O38=0),"",P38/O38)</f>
        <v/>
      </c>
      <c r="R38" s="5" t="n"/>
      <c r="S38" s="5" t="n"/>
      <c r="T38" s="5" t="n"/>
    </row>
    <row r="39">
      <c r="A39" s="5" t="n">
        <v>38</v>
      </c>
      <c r="B39" s="5" t="n"/>
      <c r="C39" s="6" t="n"/>
      <c r="D39" s="5" t="n"/>
      <c r="E39" s="5">
        <f>IF(D39="","",IF(D39&lt;=15,"Titik Berangkat",IF(D39&lt;=30,"Mulai Mencatat",IF(D39&lt;=45,"Mulai Membaca Bukti","Bukti Menjadi Kebiasaan"))))</f>
        <v/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7">
        <f>IF(OR(L39="",L39=0),"",M39/L39)</f>
        <v/>
      </c>
      <c r="O39" s="5" t="n"/>
      <c r="P39" s="5" t="n"/>
      <c r="Q39" s="7">
        <f>IF(OR(O39="",O39=0),"",P39/O39)</f>
        <v/>
      </c>
      <c r="R39" s="5" t="n"/>
      <c r="S39" s="5" t="n"/>
      <c r="T39" s="5" t="n"/>
    </row>
    <row r="40">
      <c r="A40" s="5" t="n">
        <v>39</v>
      </c>
      <c r="B40" s="5" t="n"/>
      <c r="C40" s="6" t="n"/>
      <c r="D40" s="5" t="n"/>
      <c r="E40" s="5">
        <f>IF(D40="","",IF(D40&lt;=15,"Titik Berangkat",IF(D40&lt;=30,"Mulai Mencatat",IF(D40&lt;=45,"Mulai Membaca Bukti","Bukti Menjadi Kebiasaan"))))</f>
        <v/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7">
        <f>IF(OR(L40="",L40=0),"",M40/L40)</f>
        <v/>
      </c>
      <c r="O40" s="5" t="n"/>
      <c r="P40" s="5" t="n"/>
      <c r="Q40" s="7">
        <f>IF(OR(O40="",O40=0),"",P40/O40)</f>
        <v/>
      </c>
      <c r="R40" s="5" t="n"/>
      <c r="S40" s="5" t="n"/>
      <c r="T40" s="5" t="n"/>
    </row>
    <row r="41">
      <c r="A41" s="5" t="n">
        <v>40</v>
      </c>
      <c r="B41" s="5" t="n"/>
      <c r="C41" s="6" t="n"/>
      <c r="D41" s="5" t="n"/>
      <c r="E41" s="5">
        <f>IF(D41="","",IF(D41&lt;=15,"Titik Berangkat",IF(D41&lt;=30,"Mulai Mencatat",IF(D41&lt;=45,"Mulai Membaca Bukti","Bukti Menjadi Kebiasaan"))))</f>
        <v/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7">
        <f>IF(OR(L41="",L41=0),"",M41/L41)</f>
        <v/>
      </c>
      <c r="O41" s="5" t="n"/>
      <c r="P41" s="5" t="n"/>
      <c r="Q41" s="7">
        <f>IF(OR(O41="",O41=0),"",P41/O41)</f>
        <v/>
      </c>
      <c r="R41" s="5" t="n"/>
      <c r="S41" s="5" t="n"/>
      <c r="T41" s="5" t="n"/>
    </row>
    <row r="42">
      <c r="A42" s="5" t="n">
        <v>41</v>
      </c>
      <c r="B42" s="5" t="n"/>
      <c r="C42" s="6" t="n"/>
      <c r="D42" s="5" t="n"/>
      <c r="E42" s="5">
        <f>IF(D42="","",IF(D42&lt;=15,"Titik Berangkat",IF(D42&lt;=30,"Mulai Mencatat",IF(D42&lt;=45,"Mulai Membaca Bukti","Bukti Menjadi Kebiasaan"))))</f>
        <v/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7">
        <f>IF(OR(L42="",L42=0),"",M42/L42)</f>
        <v/>
      </c>
      <c r="O42" s="5" t="n"/>
      <c r="P42" s="5" t="n"/>
      <c r="Q42" s="7">
        <f>IF(OR(O42="",O42=0),"",P42/O42)</f>
        <v/>
      </c>
      <c r="R42" s="5" t="n"/>
      <c r="S42" s="5" t="n"/>
      <c r="T42" s="5" t="n"/>
    </row>
    <row r="43">
      <c r="A43" s="5" t="n">
        <v>42</v>
      </c>
      <c r="B43" s="5" t="n"/>
      <c r="C43" s="6" t="n"/>
      <c r="D43" s="5" t="n"/>
      <c r="E43" s="5">
        <f>IF(D43="","",IF(D43&lt;=15,"Titik Berangkat",IF(D43&lt;=30,"Mulai Mencatat",IF(D43&lt;=45,"Mulai Membaca Bukti","Bukti Menjadi Kebiasaan"))))</f>
        <v/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7">
        <f>IF(OR(L43="",L43=0),"",M43/L43)</f>
        <v/>
      </c>
      <c r="O43" s="5" t="n"/>
      <c r="P43" s="5" t="n"/>
      <c r="Q43" s="7">
        <f>IF(OR(O43="",O43=0),"",P43/O43)</f>
        <v/>
      </c>
      <c r="R43" s="5" t="n"/>
      <c r="S43" s="5" t="n"/>
      <c r="T43" s="5" t="n"/>
    </row>
    <row r="44">
      <c r="A44" s="5" t="n">
        <v>43</v>
      </c>
      <c r="B44" s="5" t="n"/>
      <c r="C44" s="6" t="n"/>
      <c r="D44" s="5" t="n"/>
      <c r="E44" s="5">
        <f>IF(D44="","",IF(D44&lt;=15,"Titik Berangkat",IF(D44&lt;=30,"Mulai Mencatat",IF(D44&lt;=45,"Mulai Membaca Bukti","Bukti Menjadi Kebiasaan"))))</f>
        <v/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7">
        <f>IF(OR(L44="",L44=0),"",M44/L44)</f>
        <v/>
      </c>
      <c r="O44" s="5" t="n"/>
      <c r="P44" s="5" t="n"/>
      <c r="Q44" s="7">
        <f>IF(OR(O44="",O44=0),"",P44/O44)</f>
        <v/>
      </c>
      <c r="R44" s="5" t="n"/>
      <c r="S44" s="5" t="n"/>
      <c r="T44" s="5" t="n"/>
    </row>
    <row r="45">
      <c r="A45" s="5" t="n">
        <v>44</v>
      </c>
      <c r="B45" s="5" t="n"/>
      <c r="C45" s="6" t="n"/>
      <c r="D45" s="5" t="n"/>
      <c r="E45" s="5">
        <f>IF(D45="","",IF(D45&lt;=15,"Titik Berangkat",IF(D45&lt;=30,"Mulai Mencatat",IF(D45&lt;=45,"Mulai Membaca Bukti","Bukti Menjadi Kebiasaan"))))</f>
        <v/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7">
        <f>IF(OR(L45="",L45=0),"",M45/L45)</f>
        <v/>
      </c>
      <c r="O45" s="5" t="n"/>
      <c r="P45" s="5" t="n"/>
      <c r="Q45" s="7">
        <f>IF(OR(O45="",O45=0),"",P45/O45)</f>
        <v/>
      </c>
      <c r="R45" s="5" t="n"/>
      <c r="S45" s="5" t="n"/>
      <c r="T45" s="5" t="n"/>
    </row>
    <row r="46">
      <c r="A46" s="5" t="n">
        <v>45</v>
      </c>
      <c r="B46" s="5" t="n"/>
      <c r="C46" s="6" t="n"/>
      <c r="D46" s="5" t="n"/>
      <c r="E46" s="5">
        <f>IF(D46="","",IF(D46&lt;=15,"Titik Berangkat",IF(D46&lt;=30,"Mulai Mencatat",IF(D46&lt;=45,"Mulai Membaca Bukti","Bukti Menjadi Kebiasaan"))))</f>
        <v/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7">
        <f>IF(OR(L46="",L46=0),"",M46/L46)</f>
        <v/>
      </c>
      <c r="O46" s="5" t="n"/>
      <c r="P46" s="5" t="n"/>
      <c r="Q46" s="7">
        <f>IF(OR(O46="",O46=0),"",P46/O46)</f>
        <v/>
      </c>
      <c r="R46" s="5" t="n"/>
      <c r="S46" s="5" t="n"/>
      <c r="T46" s="5" t="n"/>
    </row>
    <row r="47">
      <c r="A47" s="5" t="n">
        <v>46</v>
      </c>
      <c r="B47" s="5" t="n"/>
      <c r="C47" s="6" t="n"/>
      <c r="D47" s="5" t="n"/>
      <c r="E47" s="5">
        <f>IF(D47="","",IF(D47&lt;=15,"Titik Berangkat",IF(D47&lt;=30,"Mulai Mencatat",IF(D47&lt;=45,"Mulai Membaca Bukti","Bukti Menjadi Kebiasaan"))))</f>
        <v/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7">
        <f>IF(OR(L47="",L47=0),"",M47/L47)</f>
        <v/>
      </c>
      <c r="O47" s="5" t="n"/>
      <c r="P47" s="5" t="n"/>
      <c r="Q47" s="7">
        <f>IF(OR(O47="",O47=0),"",P47/O47)</f>
        <v/>
      </c>
      <c r="R47" s="5" t="n"/>
      <c r="S47" s="5" t="n"/>
      <c r="T47" s="5" t="n"/>
    </row>
    <row r="48">
      <c r="A48" s="5" t="n">
        <v>47</v>
      </c>
      <c r="B48" s="5" t="n"/>
      <c r="C48" s="6" t="n"/>
      <c r="D48" s="5" t="n"/>
      <c r="E48" s="5">
        <f>IF(D48="","",IF(D48&lt;=15,"Titik Berangkat",IF(D48&lt;=30,"Mulai Mencatat",IF(D48&lt;=45,"Mulai Membaca Bukti","Bukti Menjadi Kebiasaan"))))</f>
        <v/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7">
        <f>IF(OR(L48="",L48=0),"",M48/L48)</f>
        <v/>
      </c>
      <c r="O48" s="5" t="n"/>
      <c r="P48" s="5" t="n"/>
      <c r="Q48" s="7">
        <f>IF(OR(O48="",O48=0),"",P48/O48)</f>
        <v/>
      </c>
      <c r="R48" s="5" t="n"/>
      <c r="S48" s="5" t="n"/>
      <c r="T48" s="5" t="n"/>
    </row>
    <row r="49">
      <c r="A49" s="5" t="n">
        <v>48</v>
      </c>
      <c r="B49" s="5" t="n"/>
      <c r="C49" s="6" t="n"/>
      <c r="D49" s="5" t="n"/>
      <c r="E49" s="5">
        <f>IF(D49="","",IF(D49&lt;=15,"Titik Berangkat",IF(D49&lt;=30,"Mulai Mencatat",IF(D49&lt;=45,"Mulai Membaca Bukti","Bukti Menjadi Kebiasaan"))))</f>
        <v/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7">
        <f>IF(OR(L49="",L49=0),"",M49/L49)</f>
        <v/>
      </c>
      <c r="O49" s="5" t="n"/>
      <c r="P49" s="5" t="n"/>
      <c r="Q49" s="7">
        <f>IF(OR(O49="",O49=0),"",P49/O49)</f>
        <v/>
      </c>
      <c r="R49" s="5" t="n"/>
      <c r="S49" s="5" t="n"/>
      <c r="T49" s="5" t="n"/>
    </row>
    <row r="50">
      <c r="A50" s="5" t="n">
        <v>49</v>
      </c>
      <c r="B50" s="5" t="n"/>
      <c r="C50" s="6" t="n"/>
      <c r="D50" s="5" t="n"/>
      <c r="E50" s="5">
        <f>IF(D50="","",IF(D50&lt;=15,"Titik Berangkat",IF(D50&lt;=30,"Mulai Mencatat",IF(D50&lt;=45,"Mulai Membaca Bukti","Bukti Menjadi Kebiasaan"))))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7">
        <f>IF(OR(L50="",L50=0),"",M50/L50)</f>
        <v/>
      </c>
      <c r="O50" s="5" t="n"/>
      <c r="P50" s="5" t="n"/>
      <c r="Q50" s="7">
        <f>IF(OR(O50="",O50=0),"",P50/O50)</f>
        <v/>
      </c>
      <c r="R50" s="5" t="n"/>
      <c r="S50" s="5" t="n"/>
      <c r="T50" s="5" t="n"/>
    </row>
    <row r="51">
      <c r="A51" s="5" t="n">
        <v>50</v>
      </c>
      <c r="B51" s="5" t="n"/>
      <c r="C51" s="6" t="n"/>
      <c r="D51" s="5" t="n"/>
      <c r="E51" s="5">
        <f>IF(D51="","",IF(D51&lt;=15,"Titik Berangkat",IF(D51&lt;=30,"Mulai Mencatat",IF(D51&lt;=45,"Mulai Membaca Bukti","Bukti Menjadi Kebiasaan"))))</f>
        <v/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7">
        <f>IF(OR(L51="",L51=0),"",M51/L51)</f>
        <v/>
      </c>
      <c r="O51" s="5" t="n"/>
      <c r="P51" s="5" t="n"/>
      <c r="Q51" s="7">
        <f>IF(OR(O51="",O51=0),"",P51/O51)</f>
        <v/>
      </c>
      <c r="R51" s="5" t="n"/>
      <c r="S51" s="5" t="n"/>
      <c r="T51" s="5" t="n"/>
    </row>
    <row r="52">
      <c r="A52" s="5" t="n">
        <v>51</v>
      </c>
      <c r="B52" s="5" t="n"/>
      <c r="C52" s="6" t="n"/>
      <c r="D52" s="5" t="n"/>
      <c r="E52" s="5">
        <f>IF(D52="","",IF(D52&lt;=15,"Titik Berangkat",IF(D52&lt;=30,"Mulai Mencatat",IF(D52&lt;=45,"Mulai Membaca Bukti","Bukti Menjadi Kebiasaan"))))</f>
        <v/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7">
        <f>IF(OR(L52="",L52=0),"",M52/L52)</f>
        <v/>
      </c>
      <c r="O52" s="5" t="n"/>
      <c r="P52" s="5" t="n"/>
      <c r="Q52" s="7">
        <f>IF(OR(O52="",O52=0),"",P52/O52)</f>
        <v/>
      </c>
      <c r="R52" s="5" t="n"/>
      <c r="S52" s="5" t="n"/>
      <c r="T52" s="5" t="n"/>
    </row>
    <row r="53">
      <c r="A53" s="5" t="n">
        <v>52</v>
      </c>
      <c r="B53" s="5" t="n"/>
      <c r="C53" s="6" t="n"/>
      <c r="D53" s="5" t="n"/>
      <c r="E53" s="5">
        <f>IF(D53="","",IF(D53&lt;=15,"Titik Berangkat",IF(D53&lt;=30,"Mulai Mencatat",IF(D53&lt;=45,"Mulai Membaca Bukti","Bukti Menjadi Kebiasaan"))))</f>
        <v/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7">
        <f>IF(OR(L53="",L53=0),"",M53/L53)</f>
        <v/>
      </c>
      <c r="O53" s="5" t="n"/>
      <c r="P53" s="5" t="n"/>
      <c r="Q53" s="7">
        <f>IF(OR(O53="",O53=0),"",P53/O53)</f>
        <v/>
      </c>
      <c r="R53" s="5" t="n"/>
      <c r="S53" s="5" t="n"/>
      <c r="T53" s="5" t="n"/>
    </row>
    <row r="54">
      <c r="A54" s="5" t="n">
        <v>53</v>
      </c>
      <c r="B54" s="5" t="n"/>
      <c r="C54" s="6" t="n"/>
      <c r="D54" s="5" t="n"/>
      <c r="E54" s="5">
        <f>IF(D54="","",IF(D54&lt;=15,"Titik Berangkat",IF(D54&lt;=30,"Mulai Mencatat",IF(D54&lt;=45,"Mulai Membaca Bukti","Bukti Menjadi Kebiasaan"))))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7">
        <f>IF(OR(L54="",L54=0),"",M54/L54)</f>
        <v/>
      </c>
      <c r="O54" s="5" t="n"/>
      <c r="P54" s="5" t="n"/>
      <c r="Q54" s="7">
        <f>IF(OR(O54="",O54=0),"",P54/O54)</f>
        <v/>
      </c>
      <c r="R54" s="5" t="n"/>
      <c r="S54" s="5" t="n"/>
      <c r="T54" s="5" t="n"/>
    </row>
    <row r="55">
      <c r="A55" s="5" t="n">
        <v>54</v>
      </c>
      <c r="B55" s="5" t="n"/>
      <c r="C55" s="6" t="n"/>
      <c r="D55" s="5" t="n"/>
      <c r="E55" s="5">
        <f>IF(D55="","",IF(D55&lt;=15,"Titik Berangkat",IF(D55&lt;=30,"Mulai Mencatat",IF(D55&lt;=45,"Mulai Membaca Bukti","Bukti Menjadi Kebiasaan"))))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7">
        <f>IF(OR(L55="",L55=0),"",M55/L55)</f>
        <v/>
      </c>
      <c r="O55" s="5" t="n"/>
      <c r="P55" s="5" t="n"/>
      <c r="Q55" s="7">
        <f>IF(OR(O55="",O55=0),"",P55/O55)</f>
        <v/>
      </c>
      <c r="R55" s="5" t="n"/>
      <c r="S55" s="5" t="n"/>
      <c r="T55" s="5" t="n"/>
    </row>
    <row r="56">
      <c r="A56" s="5" t="n">
        <v>55</v>
      </c>
      <c r="B56" s="5" t="n"/>
      <c r="C56" s="6" t="n"/>
      <c r="D56" s="5" t="n"/>
      <c r="E56" s="5">
        <f>IF(D56="","",IF(D56&lt;=15,"Titik Berangkat",IF(D56&lt;=30,"Mulai Mencatat",IF(D56&lt;=45,"Mulai Membaca Bukti","Bukti Menjadi Kebiasaan"))))</f>
        <v/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7">
        <f>IF(OR(L56="",L56=0),"",M56/L56)</f>
        <v/>
      </c>
      <c r="O56" s="5" t="n"/>
      <c r="P56" s="5" t="n"/>
      <c r="Q56" s="7">
        <f>IF(OR(O56="",O56=0),"",P56/O56)</f>
        <v/>
      </c>
      <c r="R56" s="5" t="n"/>
      <c r="S56" s="5" t="n"/>
      <c r="T56" s="5" t="n"/>
    </row>
    <row r="57">
      <c r="A57" s="5" t="n">
        <v>56</v>
      </c>
      <c r="B57" s="5" t="n"/>
      <c r="C57" s="6" t="n"/>
      <c r="D57" s="5" t="n"/>
      <c r="E57" s="5">
        <f>IF(D57="","",IF(D57&lt;=15,"Titik Berangkat",IF(D57&lt;=30,"Mulai Mencatat",IF(D57&lt;=45,"Mulai Membaca Bukti","Bukti Menjadi Kebiasaan"))))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7">
        <f>IF(OR(L57="",L57=0),"",M57/L57)</f>
        <v/>
      </c>
      <c r="O57" s="5" t="n"/>
      <c r="P57" s="5" t="n"/>
      <c r="Q57" s="7">
        <f>IF(OR(O57="",O57=0),"",P57/O57)</f>
        <v/>
      </c>
      <c r="R57" s="5" t="n"/>
      <c r="S57" s="5" t="n"/>
      <c r="T57" s="5" t="n"/>
    </row>
    <row r="58">
      <c r="A58" s="5" t="n">
        <v>57</v>
      </c>
      <c r="B58" s="5" t="n"/>
      <c r="C58" s="6" t="n"/>
      <c r="D58" s="5" t="n"/>
      <c r="E58" s="5">
        <f>IF(D58="","",IF(D58&lt;=15,"Titik Berangkat",IF(D58&lt;=30,"Mulai Mencatat",IF(D58&lt;=45,"Mulai Membaca Bukti","Bukti Menjadi Kebiasaan"))))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7">
        <f>IF(OR(L58="",L58=0),"",M58/L58)</f>
        <v/>
      </c>
      <c r="O58" s="5" t="n"/>
      <c r="P58" s="5" t="n"/>
      <c r="Q58" s="7">
        <f>IF(OR(O58="",O58=0),"",P58/O58)</f>
        <v/>
      </c>
      <c r="R58" s="5" t="n"/>
      <c r="S58" s="5" t="n"/>
      <c r="T58" s="5" t="n"/>
    </row>
    <row r="59">
      <c r="A59" s="5" t="n">
        <v>58</v>
      </c>
      <c r="B59" s="5" t="n"/>
      <c r="C59" s="6" t="n"/>
      <c r="D59" s="5" t="n"/>
      <c r="E59" s="5">
        <f>IF(D59="","",IF(D59&lt;=15,"Titik Berangkat",IF(D59&lt;=30,"Mulai Mencatat",IF(D59&lt;=45,"Mulai Membaca Bukti","Bukti Menjadi Kebiasaan"))))</f>
        <v/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7">
        <f>IF(OR(L59="",L59=0),"",M59/L59)</f>
        <v/>
      </c>
      <c r="O59" s="5" t="n"/>
      <c r="P59" s="5" t="n"/>
      <c r="Q59" s="7">
        <f>IF(OR(O59="",O59=0),"",P59/O59)</f>
        <v/>
      </c>
      <c r="R59" s="5" t="n"/>
      <c r="S59" s="5" t="n"/>
      <c r="T59" s="5" t="n"/>
    </row>
    <row r="60">
      <c r="A60" s="5" t="n">
        <v>59</v>
      </c>
      <c r="B60" s="5" t="n"/>
      <c r="C60" s="6" t="n"/>
      <c r="D60" s="5" t="n"/>
      <c r="E60" s="5">
        <f>IF(D60="","",IF(D60&lt;=15,"Titik Berangkat",IF(D60&lt;=30,"Mulai Mencatat",IF(D60&lt;=45,"Mulai Membaca Bukti","Bukti Menjadi Kebiasaan"))))</f>
        <v/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7">
        <f>IF(OR(L60="",L60=0),"",M60/L60)</f>
        <v/>
      </c>
      <c r="O60" s="5" t="n"/>
      <c r="P60" s="5" t="n"/>
      <c r="Q60" s="7">
        <f>IF(OR(O60="",O60=0),"",P60/O60)</f>
        <v/>
      </c>
      <c r="R60" s="5" t="n"/>
      <c r="S60" s="5" t="n"/>
      <c r="T60" s="5" t="n"/>
    </row>
    <row r="61">
      <c r="A61" s="5" t="n">
        <v>60</v>
      </c>
      <c r="B61" s="5" t="n"/>
      <c r="C61" s="6" t="n"/>
      <c r="D61" s="5" t="n"/>
      <c r="E61" s="5">
        <f>IF(D61="","",IF(D61&lt;=15,"Titik Berangkat",IF(D61&lt;=30,"Mulai Mencatat",IF(D61&lt;=45,"Mulai Membaca Bukti","Bukti Menjadi Kebiasaan"))))</f>
        <v/>
      </c>
      <c r="F61" s="5" t="n"/>
      <c r="G61" s="5" t="n"/>
      <c r="H61" s="5" t="n"/>
      <c r="I61" s="5" t="n"/>
      <c r="J61" s="5" t="n"/>
      <c r="K61" s="5" t="n"/>
      <c r="L61" s="5" t="n"/>
      <c r="M61" s="5" t="n"/>
      <c r="N61" s="7">
        <f>IF(OR(L61="",L61=0),"",M61/L61)</f>
        <v/>
      </c>
      <c r="O61" s="5" t="n"/>
      <c r="P61" s="5" t="n"/>
      <c r="Q61" s="7">
        <f>IF(OR(O61="",O61=0),"",P61/O61)</f>
        <v/>
      </c>
      <c r="R61" s="5" t="n"/>
      <c r="S61" s="5" t="n"/>
      <c r="T61" s="5" t="n"/>
    </row>
    <row r="62">
      <c r="A62" s="5" t="n">
        <v>61</v>
      </c>
      <c r="B62" s="5" t="n"/>
      <c r="C62" s="6" t="n"/>
      <c r="D62" s="5" t="n"/>
      <c r="E62" s="5">
        <f>IF(D62="","",IF(D62&lt;=15,"Titik Berangkat",IF(D62&lt;=30,"Mulai Mencatat",IF(D62&lt;=45,"Mulai Membaca Bukti","Bukti Menjadi Kebiasaan"))))</f>
        <v/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7">
        <f>IF(OR(L62="",L62=0),"",M62/L62)</f>
        <v/>
      </c>
      <c r="O62" s="5" t="n"/>
      <c r="P62" s="5" t="n"/>
      <c r="Q62" s="7">
        <f>IF(OR(O62="",O62=0),"",P62/O62)</f>
        <v/>
      </c>
      <c r="R62" s="5" t="n"/>
      <c r="S62" s="5" t="n"/>
      <c r="T62" s="5" t="n"/>
    </row>
    <row r="63">
      <c r="A63" s="5" t="n">
        <v>62</v>
      </c>
      <c r="B63" s="5" t="n"/>
      <c r="C63" s="6" t="n"/>
      <c r="D63" s="5" t="n"/>
      <c r="E63" s="5">
        <f>IF(D63="","",IF(D63&lt;=15,"Titik Berangkat",IF(D63&lt;=30,"Mulai Mencatat",IF(D63&lt;=45,"Mulai Membaca Bukti","Bukti Menjadi Kebiasaan"))))</f>
        <v/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7">
        <f>IF(OR(L63="",L63=0),"",M63/L63)</f>
        <v/>
      </c>
      <c r="O63" s="5" t="n"/>
      <c r="P63" s="5" t="n"/>
      <c r="Q63" s="7">
        <f>IF(OR(O63="",O63=0),"",P63/O63)</f>
        <v/>
      </c>
      <c r="R63" s="5" t="n"/>
      <c r="S63" s="5" t="n"/>
      <c r="T63" s="5" t="n"/>
    </row>
    <row r="64">
      <c r="A64" s="5" t="n">
        <v>63</v>
      </c>
      <c r="B64" s="5" t="n"/>
      <c r="C64" s="6" t="n"/>
      <c r="D64" s="5" t="n"/>
      <c r="E64" s="5">
        <f>IF(D64="","",IF(D64&lt;=15,"Titik Berangkat",IF(D64&lt;=30,"Mulai Mencatat",IF(D64&lt;=45,"Mulai Membaca Bukti","Bukti Menjadi Kebiasaan"))))</f>
        <v/>
      </c>
      <c r="F64" s="5" t="n"/>
      <c r="G64" s="5" t="n"/>
      <c r="H64" s="5" t="n"/>
      <c r="I64" s="5" t="n"/>
      <c r="J64" s="5" t="n"/>
      <c r="K64" s="5" t="n"/>
      <c r="L64" s="5" t="n"/>
      <c r="M64" s="5" t="n"/>
      <c r="N64" s="7">
        <f>IF(OR(L64="",L64=0),"",M64/L64)</f>
        <v/>
      </c>
      <c r="O64" s="5" t="n"/>
      <c r="P64" s="5" t="n"/>
      <c r="Q64" s="7">
        <f>IF(OR(O64="",O64=0),"",P64/O64)</f>
        <v/>
      </c>
      <c r="R64" s="5" t="n"/>
      <c r="S64" s="5" t="n"/>
      <c r="T64" s="5" t="n"/>
    </row>
    <row r="65">
      <c r="A65" s="5" t="n">
        <v>64</v>
      </c>
      <c r="B65" s="5" t="n"/>
      <c r="C65" s="6" t="n"/>
      <c r="D65" s="5" t="n"/>
      <c r="E65" s="5">
        <f>IF(D65="","",IF(D65&lt;=15,"Titik Berangkat",IF(D65&lt;=30,"Mulai Mencatat",IF(D65&lt;=45,"Mulai Membaca Bukti","Bukti Menjadi Kebiasaan"))))</f>
        <v/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7">
        <f>IF(OR(L65="",L65=0),"",M65/L65)</f>
        <v/>
      </c>
      <c r="O65" s="5" t="n"/>
      <c r="P65" s="5" t="n"/>
      <c r="Q65" s="7">
        <f>IF(OR(O65="",O65=0),"",P65/O65)</f>
        <v/>
      </c>
      <c r="R65" s="5" t="n"/>
      <c r="S65" s="5" t="n"/>
      <c r="T65" s="5" t="n"/>
    </row>
    <row r="66">
      <c r="A66" s="5" t="n">
        <v>65</v>
      </c>
      <c r="B66" s="5" t="n"/>
      <c r="C66" s="6" t="n"/>
      <c r="D66" s="5" t="n"/>
      <c r="E66" s="5">
        <f>IF(D66="","",IF(D66&lt;=15,"Titik Berangkat",IF(D66&lt;=30,"Mulai Mencatat",IF(D66&lt;=45,"Mulai Membaca Bukti","Bukti Menjadi Kebiasaan"))))</f>
        <v/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7">
        <f>IF(OR(L66="",L66=0),"",M66/L66)</f>
        <v/>
      </c>
      <c r="O66" s="5" t="n"/>
      <c r="P66" s="5" t="n"/>
      <c r="Q66" s="7">
        <f>IF(OR(O66="",O66=0),"",P66/O66)</f>
        <v/>
      </c>
      <c r="R66" s="5" t="n"/>
      <c r="S66" s="5" t="n"/>
      <c r="T66" s="5" t="n"/>
    </row>
    <row r="67">
      <c r="A67" s="5" t="n">
        <v>66</v>
      </c>
      <c r="B67" s="5" t="n"/>
      <c r="C67" s="6" t="n"/>
      <c r="D67" s="5" t="n"/>
      <c r="E67" s="5">
        <f>IF(D67="","",IF(D67&lt;=15,"Titik Berangkat",IF(D67&lt;=30,"Mulai Mencatat",IF(D67&lt;=45,"Mulai Membaca Bukti","Bukti Menjadi Kebiasaan"))))</f>
        <v/>
      </c>
      <c r="F67" s="5" t="n"/>
      <c r="G67" s="5" t="n"/>
      <c r="H67" s="5" t="n"/>
      <c r="I67" s="5" t="n"/>
      <c r="J67" s="5" t="n"/>
      <c r="K67" s="5" t="n"/>
      <c r="L67" s="5" t="n"/>
      <c r="M67" s="5" t="n"/>
      <c r="N67" s="7">
        <f>IF(OR(L67="",L67=0),"",M67/L67)</f>
        <v/>
      </c>
      <c r="O67" s="5" t="n"/>
      <c r="P67" s="5" t="n"/>
      <c r="Q67" s="7">
        <f>IF(OR(O67="",O67=0),"",P67/O67)</f>
        <v/>
      </c>
      <c r="R67" s="5" t="n"/>
      <c r="S67" s="5" t="n"/>
      <c r="T67" s="5" t="n"/>
    </row>
    <row r="68">
      <c r="A68" s="5" t="n">
        <v>67</v>
      </c>
      <c r="B68" s="5" t="n"/>
      <c r="C68" s="6" t="n"/>
      <c r="D68" s="5" t="n"/>
      <c r="E68" s="5">
        <f>IF(D68="","",IF(D68&lt;=15,"Titik Berangkat",IF(D68&lt;=30,"Mulai Mencatat",IF(D68&lt;=45,"Mulai Membaca Bukti","Bukti Menjadi Kebiasaan"))))</f>
        <v/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7">
        <f>IF(OR(L68="",L68=0),"",M68/L68)</f>
        <v/>
      </c>
      <c r="O68" s="5" t="n"/>
      <c r="P68" s="5" t="n"/>
      <c r="Q68" s="7">
        <f>IF(OR(O68="",O68=0),"",P68/O68)</f>
        <v/>
      </c>
      <c r="R68" s="5" t="n"/>
      <c r="S68" s="5" t="n"/>
      <c r="T68" s="5" t="n"/>
    </row>
    <row r="69">
      <c r="A69" s="5" t="n">
        <v>68</v>
      </c>
      <c r="B69" s="5" t="n"/>
      <c r="C69" s="6" t="n"/>
      <c r="D69" s="5" t="n"/>
      <c r="E69" s="5">
        <f>IF(D69="","",IF(D69&lt;=15,"Titik Berangkat",IF(D69&lt;=30,"Mulai Mencatat",IF(D69&lt;=45,"Mulai Membaca Bukti","Bukti Menjadi Kebiasaan"))))</f>
        <v/>
      </c>
      <c r="F69" s="5" t="n"/>
      <c r="G69" s="5" t="n"/>
      <c r="H69" s="5" t="n"/>
      <c r="I69" s="5" t="n"/>
      <c r="J69" s="5" t="n"/>
      <c r="K69" s="5" t="n"/>
      <c r="L69" s="5" t="n"/>
      <c r="M69" s="5" t="n"/>
      <c r="N69" s="7">
        <f>IF(OR(L69="",L69=0),"",M69/L69)</f>
        <v/>
      </c>
      <c r="O69" s="5" t="n"/>
      <c r="P69" s="5" t="n"/>
      <c r="Q69" s="7">
        <f>IF(OR(O69="",O69=0),"",P69/O69)</f>
        <v/>
      </c>
      <c r="R69" s="5" t="n"/>
      <c r="S69" s="5" t="n"/>
      <c r="T69" s="5" t="n"/>
    </row>
    <row r="70">
      <c r="A70" s="5" t="n">
        <v>69</v>
      </c>
      <c r="B70" s="5" t="n"/>
      <c r="C70" s="6" t="n"/>
      <c r="D70" s="5" t="n"/>
      <c r="E70" s="5">
        <f>IF(D70="","",IF(D70&lt;=15,"Titik Berangkat",IF(D70&lt;=30,"Mulai Mencatat",IF(D70&lt;=45,"Mulai Membaca Bukti","Bukti Menjadi Kebiasaan"))))</f>
        <v/>
      </c>
      <c r="F70" s="5" t="n"/>
      <c r="G70" s="5" t="n"/>
      <c r="H70" s="5" t="n"/>
      <c r="I70" s="5" t="n"/>
      <c r="J70" s="5" t="n"/>
      <c r="K70" s="5" t="n"/>
      <c r="L70" s="5" t="n"/>
      <c r="M70" s="5" t="n"/>
      <c r="N70" s="7">
        <f>IF(OR(L70="",L70=0),"",M70/L70)</f>
        <v/>
      </c>
      <c r="O70" s="5" t="n"/>
      <c r="P70" s="5" t="n"/>
      <c r="Q70" s="7">
        <f>IF(OR(O70="",O70=0),"",P70/O70)</f>
        <v/>
      </c>
      <c r="R70" s="5" t="n"/>
      <c r="S70" s="5" t="n"/>
      <c r="T70" s="5" t="n"/>
    </row>
    <row r="71">
      <c r="A71" s="5" t="n">
        <v>70</v>
      </c>
      <c r="B71" s="5" t="n"/>
      <c r="C71" s="6" t="n"/>
      <c r="D71" s="5" t="n"/>
      <c r="E71" s="5">
        <f>IF(D71="","",IF(D71&lt;=15,"Titik Berangkat",IF(D71&lt;=30,"Mulai Mencatat",IF(D71&lt;=45,"Mulai Membaca Bukti","Bukti Menjadi Kebiasaan"))))</f>
        <v/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7">
        <f>IF(OR(L71="",L71=0),"",M71/L71)</f>
        <v/>
      </c>
      <c r="O71" s="5" t="n"/>
      <c r="P71" s="5" t="n"/>
      <c r="Q71" s="7">
        <f>IF(OR(O71="",O71=0),"",P71/O71)</f>
        <v/>
      </c>
      <c r="R71" s="5" t="n"/>
      <c r="S71" s="5" t="n"/>
      <c r="T71" s="5" t="n"/>
    </row>
    <row r="72">
      <c r="A72" s="5" t="n">
        <v>71</v>
      </c>
      <c r="B72" s="5" t="n"/>
      <c r="C72" s="6" t="n"/>
      <c r="D72" s="5" t="n"/>
      <c r="E72" s="5">
        <f>IF(D72="","",IF(D72&lt;=15,"Titik Berangkat",IF(D72&lt;=30,"Mulai Mencatat",IF(D72&lt;=45,"Mulai Membaca Bukti","Bukti Menjadi Kebiasaan"))))</f>
        <v/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7">
        <f>IF(OR(L72="",L72=0),"",M72/L72)</f>
        <v/>
      </c>
      <c r="O72" s="5" t="n"/>
      <c r="P72" s="5" t="n"/>
      <c r="Q72" s="7">
        <f>IF(OR(O72="",O72=0),"",P72/O72)</f>
        <v/>
      </c>
      <c r="R72" s="5" t="n"/>
      <c r="S72" s="5" t="n"/>
      <c r="T72" s="5" t="n"/>
    </row>
    <row r="73">
      <c r="A73" s="5" t="n">
        <v>72</v>
      </c>
      <c r="B73" s="5" t="n"/>
      <c r="C73" s="6" t="n"/>
      <c r="D73" s="5" t="n"/>
      <c r="E73" s="5">
        <f>IF(D73="","",IF(D73&lt;=15,"Titik Berangkat",IF(D73&lt;=30,"Mulai Mencatat",IF(D73&lt;=45,"Mulai Membaca Bukti","Bukti Menjadi Kebiasaan"))))</f>
        <v/>
      </c>
      <c r="F73" s="5" t="n"/>
      <c r="G73" s="5" t="n"/>
      <c r="H73" s="5" t="n"/>
      <c r="I73" s="5" t="n"/>
      <c r="J73" s="5" t="n"/>
      <c r="K73" s="5" t="n"/>
      <c r="L73" s="5" t="n"/>
      <c r="M73" s="5" t="n"/>
      <c r="N73" s="7">
        <f>IF(OR(L73="",L73=0),"",M73/L73)</f>
        <v/>
      </c>
      <c r="O73" s="5" t="n"/>
      <c r="P73" s="5" t="n"/>
      <c r="Q73" s="7">
        <f>IF(OR(O73="",O73=0),"",P73/O73)</f>
        <v/>
      </c>
      <c r="R73" s="5" t="n"/>
      <c r="S73" s="5" t="n"/>
      <c r="T73" s="5" t="n"/>
    </row>
    <row r="74">
      <c r="A74" s="5" t="n">
        <v>73</v>
      </c>
      <c r="B74" s="5" t="n"/>
      <c r="C74" s="6" t="n"/>
      <c r="D74" s="5" t="n"/>
      <c r="E74" s="5">
        <f>IF(D74="","",IF(D74&lt;=15,"Titik Berangkat",IF(D74&lt;=30,"Mulai Mencatat",IF(D74&lt;=45,"Mulai Membaca Bukti","Bukti Menjadi Kebiasaan"))))</f>
        <v/>
      </c>
      <c r="F74" s="5" t="n"/>
      <c r="G74" s="5" t="n"/>
      <c r="H74" s="5" t="n"/>
      <c r="I74" s="5" t="n"/>
      <c r="J74" s="5" t="n"/>
      <c r="K74" s="5" t="n"/>
      <c r="L74" s="5" t="n"/>
      <c r="M74" s="5" t="n"/>
      <c r="N74" s="7">
        <f>IF(OR(L74="",L74=0),"",M74/L74)</f>
        <v/>
      </c>
      <c r="O74" s="5" t="n"/>
      <c r="P74" s="5" t="n"/>
      <c r="Q74" s="7">
        <f>IF(OR(O74="",O74=0),"",P74/O74)</f>
        <v/>
      </c>
      <c r="R74" s="5" t="n"/>
      <c r="S74" s="5" t="n"/>
      <c r="T74" s="5" t="n"/>
    </row>
    <row r="75">
      <c r="A75" s="5" t="n">
        <v>74</v>
      </c>
      <c r="B75" s="5" t="n"/>
      <c r="C75" s="6" t="n"/>
      <c r="D75" s="5" t="n"/>
      <c r="E75" s="5">
        <f>IF(D75="","",IF(D75&lt;=15,"Titik Berangkat",IF(D75&lt;=30,"Mulai Mencatat",IF(D75&lt;=45,"Mulai Membaca Bukti","Bukti Menjadi Kebiasaan"))))</f>
        <v/>
      </c>
      <c r="F75" s="5" t="n"/>
      <c r="G75" s="5" t="n"/>
      <c r="H75" s="5" t="n"/>
      <c r="I75" s="5" t="n"/>
      <c r="J75" s="5" t="n"/>
      <c r="K75" s="5" t="n"/>
      <c r="L75" s="5" t="n"/>
      <c r="M75" s="5" t="n"/>
      <c r="N75" s="7">
        <f>IF(OR(L75="",L75=0),"",M75/L75)</f>
        <v/>
      </c>
      <c r="O75" s="5" t="n"/>
      <c r="P75" s="5" t="n"/>
      <c r="Q75" s="7">
        <f>IF(OR(O75="",O75=0),"",P75/O75)</f>
        <v/>
      </c>
      <c r="R75" s="5" t="n"/>
      <c r="S75" s="5" t="n"/>
      <c r="T75" s="5" t="n"/>
    </row>
    <row r="76">
      <c r="A76" s="5" t="n">
        <v>75</v>
      </c>
      <c r="B76" s="5" t="n"/>
      <c r="C76" s="6" t="n"/>
      <c r="D76" s="5" t="n"/>
      <c r="E76" s="5">
        <f>IF(D76="","",IF(D76&lt;=15,"Titik Berangkat",IF(D76&lt;=30,"Mulai Mencatat",IF(D76&lt;=45,"Mulai Membaca Bukti","Bukti Menjadi Kebiasaan"))))</f>
        <v/>
      </c>
      <c r="F76" s="5" t="n"/>
      <c r="G76" s="5" t="n"/>
      <c r="H76" s="5" t="n"/>
      <c r="I76" s="5" t="n"/>
      <c r="J76" s="5" t="n"/>
      <c r="K76" s="5" t="n"/>
      <c r="L76" s="5" t="n"/>
      <c r="M76" s="5" t="n"/>
      <c r="N76" s="7">
        <f>IF(OR(L76="",L76=0),"",M76/L76)</f>
        <v/>
      </c>
      <c r="O76" s="5" t="n"/>
      <c r="P76" s="5" t="n"/>
      <c r="Q76" s="7">
        <f>IF(OR(O76="",O76=0),"",P76/O76)</f>
        <v/>
      </c>
      <c r="R76" s="5" t="n"/>
      <c r="S76" s="5" t="n"/>
      <c r="T76" s="5" t="n"/>
    </row>
    <row r="77">
      <c r="A77" s="5" t="n">
        <v>76</v>
      </c>
      <c r="B77" s="5" t="n"/>
      <c r="C77" s="6" t="n"/>
      <c r="D77" s="5" t="n"/>
      <c r="E77" s="5">
        <f>IF(D77="","",IF(D77&lt;=15,"Titik Berangkat",IF(D77&lt;=30,"Mulai Mencatat",IF(D77&lt;=45,"Mulai Membaca Bukti","Bukti Menjadi Kebiasaan"))))</f>
        <v/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7">
        <f>IF(OR(L77="",L77=0),"",M77/L77)</f>
        <v/>
      </c>
      <c r="O77" s="5" t="n"/>
      <c r="P77" s="5" t="n"/>
      <c r="Q77" s="7">
        <f>IF(OR(O77="",O77=0),"",P77/O77)</f>
        <v/>
      </c>
      <c r="R77" s="5" t="n"/>
      <c r="S77" s="5" t="n"/>
      <c r="T77" s="5" t="n"/>
    </row>
    <row r="78">
      <c r="A78" s="5" t="n">
        <v>77</v>
      </c>
      <c r="B78" s="5" t="n"/>
      <c r="C78" s="6" t="n"/>
      <c r="D78" s="5" t="n"/>
      <c r="E78" s="5">
        <f>IF(D78="","",IF(D78&lt;=15,"Titik Berangkat",IF(D78&lt;=30,"Mulai Mencatat",IF(D78&lt;=45,"Mulai Membaca Bukti","Bukti Menjadi Kebiasaan"))))</f>
        <v/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7">
        <f>IF(OR(L78="",L78=0),"",M78/L78)</f>
        <v/>
      </c>
      <c r="O78" s="5" t="n"/>
      <c r="P78" s="5" t="n"/>
      <c r="Q78" s="7">
        <f>IF(OR(O78="",O78=0),"",P78/O78)</f>
        <v/>
      </c>
      <c r="R78" s="5" t="n"/>
      <c r="S78" s="5" t="n"/>
      <c r="T78" s="5" t="n"/>
    </row>
    <row r="79">
      <c r="A79" s="5" t="n">
        <v>78</v>
      </c>
      <c r="B79" s="5" t="n"/>
      <c r="C79" s="6" t="n"/>
      <c r="D79" s="5" t="n"/>
      <c r="E79" s="5">
        <f>IF(D79="","",IF(D79&lt;=15,"Titik Berangkat",IF(D79&lt;=30,"Mulai Mencatat",IF(D79&lt;=45,"Mulai Membaca Bukti","Bukti Menjadi Kebiasaan"))))</f>
        <v/>
      </c>
      <c r="F79" s="5" t="n"/>
      <c r="G79" s="5" t="n"/>
      <c r="H79" s="5" t="n"/>
      <c r="I79" s="5" t="n"/>
      <c r="J79" s="5" t="n"/>
      <c r="K79" s="5" t="n"/>
      <c r="L79" s="5" t="n"/>
      <c r="M79" s="5" t="n"/>
      <c r="N79" s="7">
        <f>IF(OR(L79="",L79=0),"",M79/L79)</f>
        <v/>
      </c>
      <c r="O79" s="5" t="n"/>
      <c r="P79" s="5" t="n"/>
      <c r="Q79" s="7">
        <f>IF(OR(O79="",O79=0),"",P79/O79)</f>
        <v/>
      </c>
      <c r="R79" s="5" t="n"/>
      <c r="S79" s="5" t="n"/>
      <c r="T79" s="5" t="n"/>
    </row>
    <row r="80">
      <c r="A80" s="5" t="n">
        <v>79</v>
      </c>
      <c r="B80" s="5" t="n"/>
      <c r="C80" s="6" t="n"/>
      <c r="D80" s="5" t="n"/>
      <c r="E80" s="5">
        <f>IF(D80="","",IF(D80&lt;=15,"Titik Berangkat",IF(D80&lt;=30,"Mulai Mencatat",IF(D80&lt;=45,"Mulai Membaca Bukti","Bukti Menjadi Kebiasaan"))))</f>
        <v/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7">
        <f>IF(OR(L80="",L80=0),"",M80/L80)</f>
        <v/>
      </c>
      <c r="O80" s="5" t="n"/>
      <c r="P80" s="5" t="n"/>
      <c r="Q80" s="7">
        <f>IF(OR(O80="",O80=0),"",P80/O80)</f>
        <v/>
      </c>
      <c r="R80" s="5" t="n"/>
      <c r="S80" s="5" t="n"/>
      <c r="T80" s="5" t="n"/>
    </row>
    <row r="81">
      <c r="A81" s="5" t="n">
        <v>80</v>
      </c>
      <c r="B81" s="5" t="n"/>
      <c r="C81" s="6" t="n"/>
      <c r="D81" s="5" t="n"/>
      <c r="E81" s="5">
        <f>IF(D81="","",IF(D81&lt;=15,"Titik Berangkat",IF(D81&lt;=30,"Mulai Mencatat",IF(D81&lt;=45,"Mulai Membaca Bukti","Bukti Menjadi Kebiasaan"))))</f>
        <v/>
      </c>
      <c r="F81" s="5" t="n"/>
      <c r="G81" s="5" t="n"/>
      <c r="H81" s="5" t="n"/>
      <c r="I81" s="5" t="n"/>
      <c r="J81" s="5" t="n"/>
      <c r="K81" s="5" t="n"/>
      <c r="L81" s="5" t="n"/>
      <c r="M81" s="5" t="n"/>
      <c r="N81" s="7">
        <f>IF(OR(L81="",L81=0),"",M81/L81)</f>
        <v/>
      </c>
      <c r="O81" s="5" t="n"/>
      <c r="P81" s="5" t="n"/>
      <c r="Q81" s="7">
        <f>IF(OR(O81="",O81=0),"",P81/O81)</f>
        <v/>
      </c>
      <c r="R81" s="5" t="n"/>
      <c r="S81" s="5" t="n"/>
      <c r="T81" s="5" t="n"/>
    </row>
    <row r="82">
      <c r="A82" s="5" t="n">
        <v>81</v>
      </c>
      <c r="B82" s="5" t="n"/>
      <c r="C82" s="6" t="n"/>
      <c r="D82" s="5" t="n"/>
      <c r="E82" s="5">
        <f>IF(D82="","",IF(D82&lt;=15,"Titik Berangkat",IF(D82&lt;=30,"Mulai Mencatat",IF(D82&lt;=45,"Mulai Membaca Bukti","Bukti Menjadi Kebiasaan"))))</f>
        <v/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7">
        <f>IF(OR(L82="",L82=0),"",M82/L82)</f>
        <v/>
      </c>
      <c r="O82" s="5" t="n"/>
      <c r="P82" s="5" t="n"/>
      <c r="Q82" s="7">
        <f>IF(OR(O82="",O82=0),"",P82/O82)</f>
        <v/>
      </c>
      <c r="R82" s="5" t="n"/>
      <c r="S82" s="5" t="n"/>
      <c r="T82" s="5" t="n"/>
    </row>
    <row r="83">
      <c r="A83" s="5" t="n">
        <v>82</v>
      </c>
      <c r="B83" s="5" t="n"/>
      <c r="C83" s="6" t="n"/>
      <c r="D83" s="5" t="n"/>
      <c r="E83" s="5">
        <f>IF(D83="","",IF(D83&lt;=15,"Titik Berangkat",IF(D83&lt;=30,"Mulai Mencatat",IF(D83&lt;=45,"Mulai Membaca Bukti","Bukti Menjadi Kebiasaan"))))</f>
        <v/>
      </c>
      <c r="F83" s="5" t="n"/>
      <c r="G83" s="5" t="n"/>
      <c r="H83" s="5" t="n"/>
      <c r="I83" s="5" t="n"/>
      <c r="J83" s="5" t="n"/>
      <c r="K83" s="5" t="n"/>
      <c r="L83" s="5" t="n"/>
      <c r="M83" s="5" t="n"/>
      <c r="N83" s="7">
        <f>IF(OR(L83="",L83=0),"",M83/L83)</f>
        <v/>
      </c>
      <c r="O83" s="5" t="n"/>
      <c r="P83" s="5" t="n"/>
      <c r="Q83" s="7">
        <f>IF(OR(O83="",O83=0),"",P83/O83)</f>
        <v/>
      </c>
      <c r="R83" s="5" t="n"/>
      <c r="S83" s="5" t="n"/>
      <c r="T83" s="5" t="n"/>
    </row>
    <row r="84">
      <c r="A84" s="5" t="n">
        <v>83</v>
      </c>
      <c r="B84" s="5" t="n"/>
      <c r="C84" s="6" t="n"/>
      <c r="D84" s="5" t="n"/>
      <c r="E84" s="5">
        <f>IF(D84="","",IF(D84&lt;=15,"Titik Berangkat",IF(D84&lt;=30,"Mulai Mencatat",IF(D84&lt;=45,"Mulai Membaca Bukti","Bukti Menjadi Kebiasaan"))))</f>
        <v/>
      </c>
      <c r="F84" s="5" t="n"/>
      <c r="G84" s="5" t="n"/>
      <c r="H84" s="5" t="n"/>
      <c r="I84" s="5" t="n"/>
      <c r="J84" s="5" t="n"/>
      <c r="K84" s="5" t="n"/>
      <c r="L84" s="5" t="n"/>
      <c r="M84" s="5" t="n"/>
      <c r="N84" s="7">
        <f>IF(OR(L84="",L84=0),"",M84/L84)</f>
        <v/>
      </c>
      <c r="O84" s="5" t="n"/>
      <c r="P84" s="5" t="n"/>
      <c r="Q84" s="7">
        <f>IF(OR(O84="",O84=0),"",P84/O84)</f>
        <v/>
      </c>
      <c r="R84" s="5" t="n"/>
      <c r="S84" s="5" t="n"/>
      <c r="T84" s="5" t="n"/>
    </row>
    <row r="85">
      <c r="A85" s="5" t="n">
        <v>84</v>
      </c>
      <c r="B85" s="5" t="n"/>
      <c r="C85" s="6" t="n"/>
      <c r="D85" s="5" t="n"/>
      <c r="E85" s="5">
        <f>IF(D85="","",IF(D85&lt;=15,"Titik Berangkat",IF(D85&lt;=30,"Mulai Mencatat",IF(D85&lt;=45,"Mulai Membaca Bukti","Bukti Menjadi Kebiasaan"))))</f>
        <v/>
      </c>
      <c r="F85" s="5" t="n"/>
      <c r="G85" s="5" t="n"/>
      <c r="H85" s="5" t="n"/>
      <c r="I85" s="5" t="n"/>
      <c r="J85" s="5" t="n"/>
      <c r="K85" s="5" t="n"/>
      <c r="L85" s="5" t="n"/>
      <c r="M85" s="5" t="n"/>
      <c r="N85" s="7">
        <f>IF(OR(L85="",L85=0),"",M85/L85)</f>
        <v/>
      </c>
      <c r="O85" s="5" t="n"/>
      <c r="P85" s="5" t="n"/>
      <c r="Q85" s="7">
        <f>IF(OR(O85="",O85=0),"",P85/O85)</f>
        <v/>
      </c>
      <c r="R85" s="5" t="n"/>
      <c r="S85" s="5" t="n"/>
      <c r="T85" s="5" t="n"/>
    </row>
    <row r="86">
      <c r="A86" s="5" t="n">
        <v>85</v>
      </c>
      <c r="B86" s="5" t="n"/>
      <c r="C86" s="6" t="n"/>
      <c r="D86" s="5" t="n"/>
      <c r="E86" s="5">
        <f>IF(D86="","",IF(D86&lt;=15,"Titik Berangkat",IF(D86&lt;=30,"Mulai Mencatat",IF(D86&lt;=45,"Mulai Membaca Bukti","Bukti Menjadi Kebiasaan"))))</f>
        <v/>
      </c>
      <c r="F86" s="5" t="n"/>
      <c r="G86" s="5" t="n"/>
      <c r="H86" s="5" t="n"/>
      <c r="I86" s="5" t="n"/>
      <c r="J86" s="5" t="n"/>
      <c r="K86" s="5" t="n"/>
      <c r="L86" s="5" t="n"/>
      <c r="M86" s="5" t="n"/>
      <c r="N86" s="7">
        <f>IF(OR(L86="",L86=0),"",M86/L86)</f>
        <v/>
      </c>
      <c r="O86" s="5" t="n"/>
      <c r="P86" s="5" t="n"/>
      <c r="Q86" s="7">
        <f>IF(OR(O86="",O86=0),"",P86/O86)</f>
        <v/>
      </c>
      <c r="R86" s="5" t="n"/>
      <c r="S86" s="5" t="n"/>
      <c r="T86" s="5" t="n"/>
    </row>
    <row r="87">
      <c r="A87" s="5" t="n">
        <v>86</v>
      </c>
      <c r="B87" s="5" t="n"/>
      <c r="C87" s="6" t="n"/>
      <c r="D87" s="5" t="n"/>
      <c r="E87" s="5">
        <f>IF(D87="","",IF(D87&lt;=15,"Titik Berangkat",IF(D87&lt;=30,"Mulai Mencatat",IF(D87&lt;=45,"Mulai Membaca Bukti","Bukti Menjadi Kebiasaan"))))</f>
        <v/>
      </c>
      <c r="F87" s="5" t="n"/>
      <c r="G87" s="5" t="n"/>
      <c r="H87" s="5" t="n"/>
      <c r="I87" s="5" t="n"/>
      <c r="J87" s="5" t="n"/>
      <c r="K87" s="5" t="n"/>
      <c r="L87" s="5" t="n"/>
      <c r="M87" s="5" t="n"/>
      <c r="N87" s="7">
        <f>IF(OR(L87="",L87=0),"",M87/L87)</f>
        <v/>
      </c>
      <c r="O87" s="5" t="n"/>
      <c r="P87" s="5" t="n"/>
      <c r="Q87" s="7">
        <f>IF(OR(O87="",O87=0),"",P87/O87)</f>
        <v/>
      </c>
      <c r="R87" s="5" t="n"/>
      <c r="S87" s="5" t="n"/>
      <c r="T87" s="5" t="n"/>
    </row>
    <row r="88">
      <c r="A88" s="5" t="n">
        <v>87</v>
      </c>
      <c r="B88" s="5" t="n"/>
      <c r="C88" s="6" t="n"/>
      <c r="D88" s="5" t="n"/>
      <c r="E88" s="5">
        <f>IF(D88="","",IF(D88&lt;=15,"Titik Berangkat",IF(D88&lt;=30,"Mulai Mencatat",IF(D88&lt;=45,"Mulai Membaca Bukti","Bukti Menjadi Kebiasaan"))))</f>
        <v/>
      </c>
      <c r="F88" s="5" t="n"/>
      <c r="G88" s="5" t="n"/>
      <c r="H88" s="5" t="n"/>
      <c r="I88" s="5" t="n"/>
      <c r="J88" s="5" t="n"/>
      <c r="K88" s="5" t="n"/>
      <c r="L88" s="5" t="n"/>
      <c r="M88" s="5" t="n"/>
      <c r="N88" s="7">
        <f>IF(OR(L88="",L88=0),"",M88/L88)</f>
        <v/>
      </c>
      <c r="O88" s="5" t="n"/>
      <c r="P88" s="5" t="n"/>
      <c r="Q88" s="7">
        <f>IF(OR(O88="",O88=0),"",P88/O88)</f>
        <v/>
      </c>
      <c r="R88" s="5" t="n"/>
      <c r="S88" s="5" t="n"/>
      <c r="T88" s="5" t="n"/>
    </row>
    <row r="89">
      <c r="A89" s="5" t="n">
        <v>88</v>
      </c>
      <c r="B89" s="5" t="n"/>
      <c r="C89" s="6" t="n"/>
      <c r="D89" s="5" t="n"/>
      <c r="E89" s="5">
        <f>IF(D89="","",IF(D89&lt;=15,"Titik Berangkat",IF(D89&lt;=30,"Mulai Mencatat",IF(D89&lt;=45,"Mulai Membaca Bukti","Bukti Menjadi Kebiasaan"))))</f>
        <v/>
      </c>
      <c r="F89" s="5" t="n"/>
      <c r="G89" s="5" t="n"/>
      <c r="H89" s="5" t="n"/>
      <c r="I89" s="5" t="n"/>
      <c r="J89" s="5" t="n"/>
      <c r="K89" s="5" t="n"/>
      <c r="L89" s="5" t="n"/>
      <c r="M89" s="5" t="n"/>
      <c r="N89" s="7">
        <f>IF(OR(L89="",L89=0),"",M89/L89)</f>
        <v/>
      </c>
      <c r="O89" s="5" t="n"/>
      <c r="P89" s="5" t="n"/>
      <c r="Q89" s="7">
        <f>IF(OR(O89="",O89=0),"",P89/O89)</f>
        <v/>
      </c>
      <c r="R89" s="5" t="n"/>
      <c r="S89" s="5" t="n"/>
      <c r="T89" s="5" t="n"/>
    </row>
    <row r="90">
      <c r="A90" s="5" t="n">
        <v>89</v>
      </c>
      <c r="B90" s="5" t="n"/>
      <c r="C90" s="6" t="n"/>
      <c r="D90" s="5" t="n"/>
      <c r="E90" s="5">
        <f>IF(D90="","",IF(D90&lt;=15,"Titik Berangkat",IF(D90&lt;=30,"Mulai Mencatat",IF(D90&lt;=45,"Mulai Membaca Bukti","Bukti Menjadi Kebiasaan"))))</f>
        <v/>
      </c>
      <c r="F90" s="5" t="n"/>
      <c r="G90" s="5" t="n"/>
      <c r="H90" s="5" t="n"/>
      <c r="I90" s="5" t="n"/>
      <c r="J90" s="5" t="n"/>
      <c r="K90" s="5" t="n"/>
      <c r="L90" s="5" t="n"/>
      <c r="M90" s="5" t="n"/>
      <c r="N90" s="7">
        <f>IF(OR(L90="",L90=0),"",M90/L90)</f>
        <v/>
      </c>
      <c r="O90" s="5" t="n"/>
      <c r="P90" s="5" t="n"/>
      <c r="Q90" s="7">
        <f>IF(OR(O90="",O90=0),"",P90/O90)</f>
        <v/>
      </c>
      <c r="R90" s="5" t="n"/>
      <c r="S90" s="5" t="n"/>
      <c r="T90" s="5" t="n"/>
    </row>
    <row r="91">
      <c r="A91" s="5" t="n">
        <v>90</v>
      </c>
      <c r="B91" s="5" t="n"/>
      <c r="C91" s="6" t="n"/>
      <c r="D91" s="5" t="n"/>
      <c r="E91" s="5">
        <f>IF(D91="","",IF(D91&lt;=15,"Titik Berangkat",IF(D91&lt;=30,"Mulai Mencatat",IF(D91&lt;=45,"Mulai Membaca Bukti","Bukti Menjadi Kebiasaan"))))</f>
        <v/>
      </c>
      <c r="F91" s="5" t="n"/>
      <c r="G91" s="5" t="n"/>
      <c r="H91" s="5" t="n"/>
      <c r="I91" s="5" t="n"/>
      <c r="J91" s="5" t="n"/>
      <c r="K91" s="5" t="n"/>
      <c r="L91" s="5" t="n"/>
      <c r="M91" s="5" t="n"/>
      <c r="N91" s="7">
        <f>IF(OR(L91="",L91=0),"",M91/L91)</f>
        <v/>
      </c>
      <c r="O91" s="5" t="n"/>
      <c r="P91" s="5" t="n"/>
      <c r="Q91" s="7">
        <f>IF(OR(O91="",O91=0),"",P91/O91)</f>
        <v/>
      </c>
      <c r="R91" s="5" t="n"/>
      <c r="S91" s="5" t="n"/>
      <c r="T91" s="5" t="n"/>
    </row>
    <row r="92">
      <c r="A92" s="5" t="n">
        <v>91</v>
      </c>
      <c r="B92" s="5" t="n"/>
      <c r="C92" s="6" t="n"/>
      <c r="D92" s="5" t="n"/>
      <c r="E92" s="5">
        <f>IF(D92="","",IF(D92&lt;=15,"Titik Berangkat",IF(D92&lt;=30,"Mulai Mencatat",IF(D92&lt;=45,"Mulai Membaca Bukti","Bukti Menjadi Kebiasaan"))))</f>
        <v/>
      </c>
      <c r="F92" s="5" t="n"/>
      <c r="G92" s="5" t="n"/>
      <c r="H92" s="5" t="n"/>
      <c r="I92" s="5" t="n"/>
      <c r="J92" s="5" t="n"/>
      <c r="K92" s="5" t="n"/>
      <c r="L92" s="5" t="n"/>
      <c r="M92" s="5" t="n"/>
      <c r="N92" s="7">
        <f>IF(OR(L92="",L92=0),"",M92/L92)</f>
        <v/>
      </c>
      <c r="O92" s="5" t="n"/>
      <c r="P92" s="5" t="n"/>
      <c r="Q92" s="7">
        <f>IF(OR(O92="",O92=0),"",P92/O92)</f>
        <v/>
      </c>
      <c r="R92" s="5" t="n"/>
      <c r="S92" s="5" t="n"/>
      <c r="T92" s="5" t="n"/>
    </row>
    <row r="93">
      <c r="A93" s="5" t="n">
        <v>92</v>
      </c>
      <c r="B93" s="5" t="n"/>
      <c r="C93" s="6" t="n"/>
      <c r="D93" s="5" t="n"/>
      <c r="E93" s="5">
        <f>IF(D93="","",IF(D93&lt;=15,"Titik Berangkat",IF(D93&lt;=30,"Mulai Mencatat",IF(D93&lt;=45,"Mulai Membaca Bukti","Bukti Menjadi Kebiasaan"))))</f>
        <v/>
      </c>
      <c r="F93" s="5" t="n"/>
      <c r="G93" s="5" t="n"/>
      <c r="H93" s="5" t="n"/>
      <c r="I93" s="5" t="n"/>
      <c r="J93" s="5" t="n"/>
      <c r="K93" s="5" t="n"/>
      <c r="L93" s="5" t="n"/>
      <c r="M93" s="5" t="n"/>
      <c r="N93" s="7">
        <f>IF(OR(L93="",L93=0),"",M93/L93)</f>
        <v/>
      </c>
      <c r="O93" s="5" t="n"/>
      <c r="P93" s="5" t="n"/>
      <c r="Q93" s="7">
        <f>IF(OR(O93="",O93=0),"",P93/O93)</f>
        <v/>
      </c>
      <c r="R93" s="5" t="n"/>
      <c r="S93" s="5" t="n"/>
      <c r="T93" s="5" t="n"/>
    </row>
    <row r="94">
      <c r="A94" s="5" t="n">
        <v>93</v>
      </c>
      <c r="B94" s="5" t="n"/>
      <c r="C94" s="6" t="n"/>
      <c r="D94" s="5" t="n"/>
      <c r="E94" s="5">
        <f>IF(D94="","",IF(D94&lt;=15,"Titik Berangkat",IF(D94&lt;=30,"Mulai Mencatat",IF(D94&lt;=45,"Mulai Membaca Bukti","Bukti Menjadi Kebiasaan"))))</f>
        <v/>
      </c>
      <c r="F94" s="5" t="n"/>
      <c r="G94" s="5" t="n"/>
      <c r="H94" s="5" t="n"/>
      <c r="I94" s="5" t="n"/>
      <c r="J94" s="5" t="n"/>
      <c r="K94" s="5" t="n"/>
      <c r="L94" s="5" t="n"/>
      <c r="M94" s="5" t="n"/>
      <c r="N94" s="7">
        <f>IF(OR(L94="",L94=0),"",M94/L94)</f>
        <v/>
      </c>
      <c r="O94" s="5" t="n"/>
      <c r="P94" s="5" t="n"/>
      <c r="Q94" s="7">
        <f>IF(OR(O94="",O94=0),"",P94/O94)</f>
        <v/>
      </c>
      <c r="R94" s="5" t="n"/>
      <c r="S94" s="5" t="n"/>
      <c r="T94" s="5" t="n"/>
    </row>
    <row r="95">
      <c r="A95" s="5" t="n">
        <v>94</v>
      </c>
      <c r="B95" s="5" t="n"/>
      <c r="C95" s="6" t="n"/>
      <c r="D95" s="5" t="n"/>
      <c r="E95" s="5">
        <f>IF(D95="","",IF(D95&lt;=15,"Titik Berangkat",IF(D95&lt;=30,"Mulai Mencatat",IF(D95&lt;=45,"Mulai Membaca Bukti","Bukti Menjadi Kebiasaan"))))</f>
        <v/>
      </c>
      <c r="F95" s="5" t="n"/>
      <c r="G95" s="5" t="n"/>
      <c r="H95" s="5" t="n"/>
      <c r="I95" s="5" t="n"/>
      <c r="J95" s="5" t="n"/>
      <c r="K95" s="5" t="n"/>
      <c r="L95" s="5" t="n"/>
      <c r="M95" s="5" t="n"/>
      <c r="N95" s="7">
        <f>IF(OR(L95="",L95=0),"",M95/L95)</f>
        <v/>
      </c>
      <c r="O95" s="5" t="n"/>
      <c r="P95" s="5" t="n"/>
      <c r="Q95" s="7">
        <f>IF(OR(O95="",O95=0),"",P95/O95)</f>
        <v/>
      </c>
      <c r="R95" s="5" t="n"/>
      <c r="S95" s="5" t="n"/>
      <c r="T95" s="5" t="n"/>
    </row>
    <row r="96">
      <c r="A96" s="5" t="n">
        <v>95</v>
      </c>
      <c r="B96" s="5" t="n"/>
      <c r="C96" s="6" t="n"/>
      <c r="D96" s="5" t="n"/>
      <c r="E96" s="5">
        <f>IF(D96="","",IF(D96&lt;=15,"Titik Berangkat",IF(D96&lt;=30,"Mulai Mencatat",IF(D96&lt;=45,"Mulai Membaca Bukti","Bukti Menjadi Kebiasaan"))))</f>
        <v/>
      </c>
      <c r="F96" s="5" t="n"/>
      <c r="G96" s="5" t="n"/>
      <c r="H96" s="5" t="n"/>
      <c r="I96" s="5" t="n"/>
      <c r="J96" s="5" t="n"/>
      <c r="K96" s="5" t="n"/>
      <c r="L96" s="5" t="n"/>
      <c r="M96" s="5" t="n"/>
      <c r="N96" s="7">
        <f>IF(OR(L96="",L96=0),"",M96/L96)</f>
        <v/>
      </c>
      <c r="O96" s="5" t="n"/>
      <c r="P96" s="5" t="n"/>
      <c r="Q96" s="7">
        <f>IF(OR(O96="",O96=0),"",P96/O96)</f>
        <v/>
      </c>
      <c r="R96" s="5" t="n"/>
      <c r="S96" s="5" t="n"/>
      <c r="T96" s="5" t="n"/>
    </row>
    <row r="97">
      <c r="A97" s="5" t="n">
        <v>96</v>
      </c>
      <c r="B97" s="5" t="n"/>
      <c r="C97" s="6" t="n"/>
      <c r="D97" s="5" t="n"/>
      <c r="E97" s="5">
        <f>IF(D97="","",IF(D97&lt;=15,"Titik Berangkat",IF(D97&lt;=30,"Mulai Mencatat",IF(D97&lt;=45,"Mulai Membaca Bukti","Bukti Menjadi Kebiasaan"))))</f>
        <v/>
      </c>
      <c r="F97" s="5" t="n"/>
      <c r="G97" s="5" t="n"/>
      <c r="H97" s="5" t="n"/>
      <c r="I97" s="5" t="n"/>
      <c r="J97" s="5" t="n"/>
      <c r="K97" s="5" t="n"/>
      <c r="L97" s="5" t="n"/>
      <c r="M97" s="5" t="n"/>
      <c r="N97" s="7">
        <f>IF(OR(L97="",L97=0),"",M97/L97)</f>
        <v/>
      </c>
      <c r="O97" s="5" t="n"/>
      <c r="P97" s="5" t="n"/>
      <c r="Q97" s="7">
        <f>IF(OR(O97="",O97=0),"",P97/O97)</f>
        <v/>
      </c>
      <c r="R97" s="5" t="n"/>
      <c r="S97" s="5" t="n"/>
      <c r="T97" s="5" t="n"/>
    </row>
    <row r="98">
      <c r="A98" s="5" t="n">
        <v>97</v>
      </c>
      <c r="B98" s="5" t="n"/>
      <c r="C98" s="6" t="n"/>
      <c r="D98" s="5" t="n"/>
      <c r="E98" s="5">
        <f>IF(D98="","",IF(D98&lt;=15,"Titik Berangkat",IF(D98&lt;=30,"Mulai Mencatat",IF(D98&lt;=45,"Mulai Membaca Bukti","Bukti Menjadi Kebiasaan"))))</f>
        <v/>
      </c>
      <c r="F98" s="5" t="n"/>
      <c r="G98" s="5" t="n"/>
      <c r="H98" s="5" t="n"/>
      <c r="I98" s="5" t="n"/>
      <c r="J98" s="5" t="n"/>
      <c r="K98" s="5" t="n"/>
      <c r="L98" s="5" t="n"/>
      <c r="M98" s="5" t="n"/>
      <c r="N98" s="7">
        <f>IF(OR(L98="",L98=0),"",M98/L98)</f>
        <v/>
      </c>
      <c r="O98" s="5" t="n"/>
      <c r="P98" s="5" t="n"/>
      <c r="Q98" s="7">
        <f>IF(OR(O98="",O98=0),"",P98/O98)</f>
        <v/>
      </c>
      <c r="R98" s="5" t="n"/>
      <c r="S98" s="5" t="n"/>
      <c r="T98" s="5" t="n"/>
    </row>
    <row r="99">
      <c r="A99" s="5" t="n">
        <v>98</v>
      </c>
      <c r="B99" s="5" t="n"/>
      <c r="C99" s="6" t="n"/>
      <c r="D99" s="5" t="n"/>
      <c r="E99" s="5">
        <f>IF(D99="","",IF(D99&lt;=15,"Titik Berangkat",IF(D99&lt;=30,"Mulai Mencatat",IF(D99&lt;=45,"Mulai Membaca Bukti","Bukti Menjadi Kebiasaan"))))</f>
        <v/>
      </c>
      <c r="F99" s="5" t="n"/>
      <c r="G99" s="5" t="n"/>
      <c r="H99" s="5" t="n"/>
      <c r="I99" s="5" t="n"/>
      <c r="J99" s="5" t="n"/>
      <c r="K99" s="5" t="n"/>
      <c r="L99" s="5" t="n"/>
      <c r="M99" s="5" t="n"/>
      <c r="N99" s="7">
        <f>IF(OR(L99="",L99=0),"",M99/L99)</f>
        <v/>
      </c>
      <c r="O99" s="5" t="n"/>
      <c r="P99" s="5" t="n"/>
      <c r="Q99" s="7">
        <f>IF(OR(O99="",O99=0),"",P99/O99)</f>
        <v/>
      </c>
      <c r="R99" s="5" t="n"/>
      <c r="S99" s="5" t="n"/>
      <c r="T99" s="5" t="n"/>
    </row>
    <row r="100">
      <c r="A100" s="5" t="n">
        <v>99</v>
      </c>
      <c r="B100" s="5" t="n"/>
      <c r="C100" s="6" t="n"/>
      <c r="D100" s="5" t="n"/>
      <c r="E100" s="5">
        <f>IF(D100="","",IF(D100&lt;=15,"Titik Berangkat",IF(D100&lt;=30,"Mulai Mencatat",IF(D100&lt;=45,"Mulai Membaca Bukti","Bukti Menjadi Kebiasaan"))))</f>
        <v/>
      </c>
      <c r="F100" s="5" t="n"/>
      <c r="G100" s="5" t="n"/>
      <c r="H100" s="5" t="n"/>
      <c r="I100" s="5" t="n"/>
      <c r="J100" s="5" t="n"/>
      <c r="K100" s="5" t="n"/>
      <c r="L100" s="5" t="n"/>
      <c r="M100" s="5" t="n"/>
      <c r="N100" s="7">
        <f>IF(OR(L100="",L100=0),"",M100/L100)</f>
        <v/>
      </c>
      <c r="O100" s="5" t="n"/>
      <c r="P100" s="5" t="n"/>
      <c r="Q100" s="7">
        <f>IF(OR(O100="",O100=0),"",P100/O100)</f>
        <v/>
      </c>
      <c r="R100" s="5" t="n"/>
      <c r="S100" s="5" t="n"/>
      <c r="T100" s="5" t="n"/>
    </row>
    <row r="101">
      <c r="A101" s="5" t="n">
        <v>100</v>
      </c>
      <c r="B101" s="5" t="n"/>
      <c r="C101" s="6" t="n"/>
      <c r="D101" s="5" t="n"/>
      <c r="E101" s="5">
        <f>IF(D101="","",IF(D101&lt;=15,"Titik Berangkat",IF(D101&lt;=30,"Mulai Mencatat",IF(D101&lt;=45,"Mulai Membaca Bukti","Bukti Menjadi Kebiasaan"))))</f>
        <v/>
      </c>
      <c r="F101" s="5" t="n"/>
      <c r="G101" s="5" t="n"/>
      <c r="H101" s="5" t="n"/>
      <c r="I101" s="5" t="n"/>
      <c r="J101" s="5" t="n"/>
      <c r="K101" s="5" t="n"/>
      <c r="L101" s="5" t="n"/>
      <c r="M101" s="5" t="n"/>
      <c r="N101" s="7">
        <f>IF(OR(L101="",L101=0),"",M101/L101)</f>
        <v/>
      </c>
      <c r="O101" s="5" t="n"/>
      <c r="P101" s="5" t="n"/>
      <c r="Q101" s="7">
        <f>IF(OR(O101="",O101=0),"",P101/O101)</f>
        <v/>
      </c>
      <c r="R101" s="5" t="n"/>
      <c r="S101" s="5" t="n"/>
      <c r="T101" s="5" t="n"/>
    </row>
  </sheetData>
  <dataValidations count="1">
    <dataValidation sqref="D2:D101" showDropDown="0" showInputMessage="0" showErrorMessage="0" allowBlank="1" type="whole" operator="between">
      <formula1>0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4" customHeight="1">
      <c r="A1" s="4" t="inlineStr">
        <is>
          <t>Ukuran</t>
        </is>
      </c>
      <c r="B1" s="4" t="inlineStr">
        <is>
          <t>Nilai</t>
        </is>
      </c>
    </row>
    <row r="2">
      <c r="A2" s="5" t="inlineStr">
        <is>
          <t>Komisariat yang sudah diaudit</t>
        </is>
      </c>
      <c r="B2" s="5">
        <f>COUNT('Rekap Audit'!D2:D101)</f>
        <v/>
      </c>
    </row>
    <row r="3">
      <c r="A3" s="5" t="inlineStr">
        <is>
          <t>Rata-rata skor inti</t>
        </is>
      </c>
      <c r="B3" s="8">
        <f>IFERROR(AVERAGE('Rekap Audit'!D2:D101),"")</f>
        <v/>
      </c>
    </row>
    <row r="4">
      <c r="A4" s="5" t="inlineStr">
        <is>
          <t>Komisariat di tingkat Titik Berangkat</t>
        </is>
      </c>
      <c r="B4" s="5">
        <f>COUNTIF('Rekap Audit'!E2:E101,"Titik Berangkat")</f>
        <v/>
      </c>
    </row>
    <row r="5">
      <c r="A5" s="5" t="inlineStr">
        <is>
          <t>Komisariat di tingkat Mulai Mencatat</t>
        </is>
      </c>
      <c r="B5" s="5">
        <f>COUNTIF('Rekap Audit'!E2:E101,"Mulai Mencatat")</f>
        <v/>
      </c>
    </row>
    <row r="6">
      <c r="A6" s="5" t="inlineStr">
        <is>
          <t>Komisariat di tingkat Mulai Membaca Bukti</t>
        </is>
      </c>
      <c r="B6" s="5">
        <f>COUNTIF('Rekap Audit'!E2:E101,"Mulai Membaca Bukti")</f>
        <v/>
      </c>
    </row>
    <row r="7">
      <c r="A7" s="5" t="inlineStr">
        <is>
          <t>Komisariat di tingkat Bukti Menjadi Kebiasaan</t>
        </is>
      </c>
      <c r="B7" s="5">
        <f>COUNTIF('Rekap Audit'!E2:E101,"Bukti Menjadi Kebiasaan")</f>
        <v/>
      </c>
    </row>
    <row r="8">
      <c r="A8" s="5" t="inlineStr">
        <is>
          <t>Retensi gabungan setelah LK 1</t>
        </is>
      </c>
      <c r="B8" s="7">
        <f>IFERROR(SUM('Rekap Audit'!M2:M101)/SUM('Rekap Audit'!L2:L101),"")</f>
        <v/>
      </c>
    </row>
    <row r="9">
      <c r="A9" s="5" t="inlineStr">
        <is>
          <t>Keterlaksanaan program gabungan</t>
        </is>
      </c>
      <c r="B9" s="7">
        <f>IFERROR(SUM('Rekap Audit'!P2:P101)/SUM('Rekap Audit'!O2:O101),"")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2026-10-07T20:24:43Z</dcterms:created>
  <dcterms:modified xmlns:dcterms="http://purl.org/dc/terms/" xmlns:xsi="http://www.w3.org/2001/XMLSchema-instance" xsi:type="dcterms:W3CDTF">2026-10-07T20:24:43Z</dcterms:modified>
</cp:coreProperties>
</file>